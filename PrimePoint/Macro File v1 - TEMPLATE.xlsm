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yt\Documents\Contract Work\Crystal Steel\Prime Point Accounting Automation\"/>
    </mc:Choice>
  </mc:AlternateContent>
  <xr:revisionPtr revIDLastSave="0" documentId="8_{3784E141-1A15-41E8-B449-99C4FBA64AD7}" xr6:coauthVersionLast="47" xr6:coauthVersionMax="47" xr10:uidLastSave="{00000000-0000-0000-0000-000000000000}"/>
  <bookViews>
    <workbookView xWindow="-28920" yWindow="8970" windowWidth="29040" windowHeight="15720" tabRatio="894" firstSheet="1" activeTab="1" xr2:uid="{00000000-000D-0000-FFFF-FFFF00000000}"/>
  </bookViews>
  <sheets>
    <sheet name="Completeness Checks" sheetId="1" r:id="rId1"/>
    <sheet name="Controller" sheetId="7" r:id="rId2"/>
  </sheets>
  <functionGroups builtInGroupCount="19"/>
  <definedNames>
    <definedName name="job_number_lookup_table">Controller!$U$26:$Z$27</definedName>
    <definedName name="LaborDistribution_CreditAmountSearchEnd_Contains">Controller!$E$27</definedName>
    <definedName name="LaborDistribution_CreditAmountSearchStart_ExactValue">Controller!$E$26</definedName>
    <definedName name="reqCol_JournalEntry">Controller!$B$26:$B$60</definedName>
    <definedName name="State_Cost_Center_Lookup_Table">Controller!$G$26:$K$31</definedName>
    <definedName name="State_gl_account_Lookup_Table">Controller!$M$26:$S$41</definedName>
    <definedName name="State_job_number_To_phase_code_Translation">Controller!$AB$26:$AD$566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1" i="7" l="1"/>
  <c r="S40" i="7"/>
  <c r="S39" i="7"/>
  <c r="S38" i="7"/>
  <c r="S37" i="7"/>
  <c r="S35" i="7"/>
  <c r="S34" i="7"/>
  <c r="S33" i="7"/>
  <c r="S32" i="7"/>
  <c r="S36" i="7"/>
  <c r="C2" i="1" l="1"/>
  <c r="C9" i="1" l="1"/>
  <c r="C3" i="1" l="1"/>
  <c r="C4" i="1" s="1"/>
  <c r="C8" i="1"/>
  <c r="C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3" authorId="0" shapeId="0" xr:uid="{00000000-0006-0000-0000-000001000000}">
      <text>
        <r>
          <rPr>
            <sz val="11"/>
            <color rgb="FF000000"/>
            <rFont val="Calibri"/>
            <family val="2"/>
            <scheme val="minor"/>
          </rPr>
          <t>======
ID#AAABrUSwrFA
Ric Rodolf D. Pataueg    (2025-09-19 10:13:58)
missing job number - inquire Ryan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OM1Ntm47Al+aTENMc8PD+kq6Msg=="/>
    </ext>
  </extLst>
</comments>
</file>

<file path=xl/sharedStrings.xml><?xml version="1.0" encoding="utf-8"?>
<sst xmlns="http://schemas.openxmlformats.org/spreadsheetml/2006/main" count="321" uniqueCount="138">
  <si>
    <t>Completeness Check (DE):</t>
  </si>
  <si>
    <t>Tax per Payroll CRYWSSS dist report</t>
  </si>
  <si>
    <t>Cr</t>
  </si>
  <si>
    <t xml:space="preserve">Taxes per Journals </t>
  </si>
  <si>
    <t>Dr</t>
  </si>
  <si>
    <t>Difference</t>
  </si>
  <si>
    <t>Additional Check for CRYSSW report</t>
  </si>
  <si>
    <t>Guide:</t>
  </si>
  <si>
    <t>gl_account</t>
  </si>
  <si>
    <t>line_reference</t>
  </si>
  <si>
    <t>job_number</t>
  </si>
  <si>
    <t>phase_code</t>
  </si>
  <si>
    <t>cost_type</t>
  </si>
  <si>
    <t>cost center</t>
  </si>
  <si>
    <t>1. Job Related (5***)</t>
  </si>
  <si>
    <t>PA/ NY</t>
  </si>
  <si>
    <t>5***</t>
  </si>
  <si>
    <t>&lt;blank&gt;</t>
  </si>
  <si>
    <t>&lt;do not change&gt;</t>
  </si>
  <si>
    <t>AL</t>
  </si>
  <si>
    <t xml:space="preserve">system automatically fills cost center </t>
  </si>
  <si>
    <t>All others</t>
  </si>
  <si>
    <t xml:space="preserve">If under Job GL but </t>
  </si>
  <si>
    <t>2. Indirect</t>
  </si>
  <si>
    <t>ALL</t>
  </si>
  <si>
    <t>6***</t>
  </si>
  <si>
    <t>Indirect Cost Center</t>
  </si>
  <si>
    <t>3. SAE</t>
  </si>
  <si>
    <t>7***</t>
  </si>
  <si>
    <t>Corporate  Cost Center</t>
  </si>
  <si>
    <t>4. CAPEX (9*****) - Job</t>
  </si>
  <si>
    <t>9*****</t>
  </si>
  <si>
    <t>CAP</t>
  </si>
  <si>
    <t xml:space="preserve">              Main Cost Center</t>
  </si>
  <si>
    <t>Job Cost Center</t>
  </si>
  <si>
    <t>Credit Side</t>
  </si>
  <si>
    <t>DE        1010000</t>
  </si>
  <si>
    <t>MD        1012000</t>
  </si>
  <si>
    <t>NY        1058000</t>
  </si>
  <si>
    <t>PA        1050000</t>
  </si>
  <si>
    <t>TN        1030000</t>
  </si>
  <si>
    <t>company_code</t>
  </si>
  <si>
    <t>transaction_date</t>
  </si>
  <si>
    <t>journal_desc</t>
  </si>
  <si>
    <t>journal_remarks</t>
  </si>
  <si>
    <t>equipment_code</t>
  </si>
  <si>
    <t>equipment_cost_category</t>
  </si>
  <si>
    <t>equipment_work_order</t>
  </si>
  <si>
    <t>gl_debit_amount</t>
  </si>
  <si>
    <t>gl_credit_amount</t>
  </si>
  <si>
    <t>wo_number</t>
  </si>
  <si>
    <t>wo_equipment</t>
  </si>
  <si>
    <t>wo_component</t>
  </si>
  <si>
    <t>wo_contract</t>
  </si>
  <si>
    <t>wo_sellprice</t>
  </si>
  <si>
    <t>cost_center</t>
  </si>
  <si>
    <t>25002</t>
  </si>
  <si>
    <t>Selected File</t>
  </si>
  <si>
    <t>Required Columns for CRYSSW Spectrum Employer Tax Expense Journal Entry Export</t>
  </si>
  <si>
    <t>Credit Amount Search Start</t>
  </si>
  <si>
    <t>Credit Amount Search End</t>
  </si>
  <si>
    <t>Labor Distribution Payroll Summary Field Search</t>
  </si>
  <si>
    <t>DE</t>
  </si>
  <si>
    <t>MD</t>
  </si>
  <si>
    <t>NY</t>
  </si>
  <si>
    <t>PA</t>
  </si>
  <si>
    <t>TN</t>
  </si>
  <si>
    <t>Credit Cost Code</t>
  </si>
  <si>
    <t>State Cost Center Lookup Table</t>
  </si>
  <si>
    <t>Job Cost Code</t>
  </si>
  <si>
    <t>Indirect Cost Code</t>
  </si>
  <si>
    <t>Corporate Cost Code</t>
  </si>
  <si>
    <t>State gl_account Lookup Table</t>
  </si>
  <si>
    <t>5*</t>
  </si>
  <si>
    <t>6*</t>
  </si>
  <si>
    <t>7*</t>
  </si>
  <si>
    <t>&lt;empty&gt;</t>
  </si>
  <si>
    <t>State</t>
  </si>
  <si>
    <t>job_number Lookup Table</t>
  </si>
  <si>
    <t>9*</t>
  </si>
  <si>
    <t>Employer Contributions :</t>
  </si>
  <si>
    <t>21392</t>
  </si>
  <si>
    <t>24163</t>
  </si>
  <si>
    <t>24182</t>
  </si>
  <si>
    <t>25047</t>
  </si>
  <si>
    <t>25192</t>
  </si>
  <si>
    <t>25272</t>
  </si>
  <si>
    <t>25162</t>
  </si>
  <si>
    <t>25243</t>
  </si>
  <si>
    <t>23102</t>
  </si>
  <si>
    <t>25222</t>
  </si>
  <si>
    <t>21372</t>
  </si>
  <si>
    <t>23332</t>
  </si>
  <si>
    <t>23012</t>
  </si>
  <si>
    <t>24122</t>
  </si>
  <si>
    <t>24102</t>
  </si>
  <si>
    <t>24132</t>
  </si>
  <si>
    <t>25112</t>
  </si>
  <si>
    <t>250022</t>
  </si>
  <si>
    <t>25022</t>
  </si>
  <si>
    <t>25043</t>
  </si>
  <si>
    <t>24042</t>
  </si>
  <si>
    <t>24082</t>
  </si>
  <si>
    <t>21292</t>
  </si>
  <si>
    <t>25053</t>
  </si>
  <si>
    <t>24197</t>
  </si>
  <si>
    <t>23312</t>
  </si>
  <si>
    <t>23319</t>
  </si>
  <si>
    <t>24167</t>
  </si>
  <si>
    <t>25057</t>
  </si>
  <si>
    <t>24089</t>
  </si>
  <si>
    <t>24062</t>
  </si>
  <si>
    <t>24173</t>
  </si>
  <si>
    <t>24152</t>
  </si>
  <si>
    <t>24053</t>
  </si>
  <si>
    <t>24177</t>
  </si>
  <si>
    <t>25212</t>
  </si>
  <si>
    <t>25023</t>
  </si>
  <si>
    <t>24212</t>
  </si>
  <si>
    <t>23083</t>
  </si>
  <si>
    <t>23093</t>
  </si>
  <si>
    <t>25252</t>
  </si>
  <si>
    <t>24073</t>
  </si>
  <si>
    <t>25062</t>
  </si>
  <si>
    <t>22302</t>
  </si>
  <si>
    <t>&lt;phase_code lookup&gt;</t>
  </si>
  <si>
    <t>State job_number To phase_code Lookup</t>
  </si>
  <si>
    <t xml:space="preserve">Example: </t>
  </si>
  <si>
    <t>Get row 35 (after Search Start)</t>
  </si>
  <si>
    <t>Go down to row 58 (before Search End)</t>
  </si>
  <si>
    <t>*String or Number*</t>
  </si>
  <si>
    <t>Allowed Values for Lookup Table results</t>
  </si>
  <si>
    <t>Removes value from cell</t>
  </si>
  <si>
    <t>Leaves value found in cell</t>
  </si>
  <si>
    <t>Goes to phase_code lookup table, uses supplied phase_code</t>
  </si>
  <si>
    <t xml:space="preserve">Some default value </t>
  </si>
  <si>
    <t>*Formula*</t>
  </si>
  <si>
    <t>The ORANGE cells are VLOOKUP formulas to the 'State Cost Center Lookup Table'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</si>
</sst>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"/>
  </numFmts>
  <fonts count="21" x14ac:knownFonts="1">
    <font>
      <sz val="11"/>
      <color rgb="FF000000"/>
      <name val="Calibri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0"/>
      <color rgb="FF000000"/>
      <name val="Calibri"/>
      <family val="2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0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4">
    <xf numFmtId="0" fontId="0" fillId="0" borderId="0"/>
    <xf numFmtId="0" fontId="8" fillId="0" borderId="2"/>
    <xf numFmtId="0" fontId="9" fillId="0" borderId="2"/>
    <xf numFmtId="0" fontId="10" fillId="0" borderId="2"/>
    <xf numFmtId="0" fontId="11" fillId="0" borderId="2"/>
    <xf numFmtId="0" fontId="12" fillId="0" borderId="2"/>
    <xf numFmtId="0" fontId="13" fillId="0" borderId="2"/>
    <xf numFmtId="0" fontId="14" fillId="0" borderId="2"/>
    <xf numFmtId="0" fontId="15" fillId="0" borderId="2"/>
    <xf numFmtId="0" fontId="16" fillId="0" borderId="2"/>
    <xf numFmtId="0" fontId="17" fillId="0" borderId="2"/>
    <xf numFmtId="0" fontId="18" fillId="0" borderId="2"/>
    <xf numFmtId="0" fontId="19" fillId="0" borderId="2"/>
    <xf numFmtId="0" fontId="20" fillId="0" borderId="2"/>
  </cellStyleXfs>
  <cellXfs count="10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3" fillId="0" borderId="0" xfId="0" applyFont="1"/>
    <xf numFmtId="4" fontId="2" fillId="0" borderId="0" xfId="0" applyNumberFormat="1" applyFont="1" applyAlignment="1">
      <alignment horizontal="center"/>
    </xf>
    <xf numFmtId="0" fontId="2" fillId="0" borderId="1" xfId="0" applyFont="1" applyBorder="1"/>
    <xf numFmtId="164" fontId="2" fillId="0" borderId="1" xfId="0" applyNumberFormat="1" applyFont="1" applyBorder="1" applyAlignment="1">
      <alignment horizontal="center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vertical="center" wrapText="1"/>
    </xf>
    <xf numFmtId="0" fontId="2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16" xfId="0" applyFont="1" applyFill="1" applyBorder="1"/>
    <xf numFmtId="0" fontId="3" fillId="3" borderId="16" xfId="0" applyFont="1" applyFill="1" applyBorder="1" applyAlignment="1">
      <alignment horizontal="left"/>
    </xf>
    <xf numFmtId="0" fontId="0" fillId="3" borderId="16" xfId="0" applyFill="1" applyBorder="1"/>
    <xf numFmtId="0" fontId="0" fillId="3" borderId="17" xfId="0" applyFill="1" applyBorder="1"/>
    <xf numFmtId="0" fontId="0" fillId="4" borderId="5" xfId="0" applyFill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4" borderId="33" xfId="0" applyFill="1" applyBorder="1"/>
    <xf numFmtId="0" fontId="3" fillId="3" borderId="15" xfId="0" applyFont="1" applyFill="1" applyBorder="1"/>
    <xf numFmtId="0" fontId="0" fillId="3" borderId="37" xfId="0" applyFill="1" applyBorder="1"/>
    <xf numFmtId="0" fontId="7" fillId="6" borderId="4" xfId="0" applyFont="1" applyFill="1" applyBorder="1" applyAlignment="1">
      <alignment horizontal="center"/>
    </xf>
    <xf numFmtId="0" fontId="7" fillId="0" borderId="2" xfId="0" applyFont="1" applyBorder="1" applyAlignment="1">
      <alignment wrapText="1"/>
    </xf>
    <xf numFmtId="0" fontId="0" fillId="0" borderId="0" xfId="0" applyAlignment="1">
      <alignment wrapText="1"/>
    </xf>
    <xf numFmtId="0" fontId="0" fillId="4" borderId="5" xfId="0" applyFill="1" applyBorder="1" applyAlignment="1">
      <alignment wrapText="1"/>
    </xf>
    <xf numFmtId="0" fontId="0" fillId="4" borderId="29" xfId="0" applyFill="1" applyBorder="1" applyAlignment="1">
      <alignment wrapText="1"/>
    </xf>
    <xf numFmtId="0" fontId="0" fillId="4" borderId="30" xfId="0" applyFill="1" applyBorder="1" applyAlignment="1">
      <alignment wrapText="1"/>
    </xf>
    <xf numFmtId="0" fontId="0" fillId="4" borderId="31" xfId="0" applyFill="1" applyBorder="1" applyAlignment="1">
      <alignment wrapText="1"/>
    </xf>
    <xf numFmtId="0" fontId="0" fillId="4" borderId="3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42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43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49" fontId="0" fillId="4" borderId="8" xfId="0" applyNumberFormat="1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49" fontId="0" fillId="4" borderId="10" xfId="0" applyNumberFormat="1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49" fontId="0" fillId="4" borderId="13" xfId="0" applyNumberForma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7" fillId="3" borderId="44" xfId="0" applyFont="1" applyFill="1" applyBorder="1"/>
    <xf numFmtId="0" fontId="7" fillId="4" borderId="22" xfId="0" applyFont="1" applyFill="1" applyBorder="1"/>
    <xf numFmtId="0" fontId="7" fillId="4" borderId="24" xfId="0" applyFont="1" applyFill="1" applyBorder="1"/>
    <xf numFmtId="0" fontId="0" fillId="4" borderId="6" xfId="0" applyFill="1" applyBorder="1"/>
    <xf numFmtId="0" fontId="0" fillId="4" borderId="9" xfId="0" applyFill="1" applyBorder="1"/>
    <xf numFmtId="0" fontId="7" fillId="4" borderId="9" xfId="0" applyFont="1" applyFill="1" applyBorder="1"/>
    <xf numFmtId="0" fontId="7" fillId="4" borderId="11" xfId="0" applyFont="1" applyFill="1" applyBorder="1"/>
    <xf numFmtId="49" fontId="7" fillId="4" borderId="10" xfId="0" applyNumberFormat="1" applyFont="1" applyFill="1" applyBorder="1" applyAlignment="1">
      <alignment horizontal="center"/>
    </xf>
    <xf numFmtId="0" fontId="7" fillId="0" borderId="12" xfId="0" applyFont="1" applyBorder="1" applyAlignment="1">
      <alignment horizontal="left" wrapText="1"/>
    </xf>
    <xf numFmtId="0" fontId="7" fillId="0" borderId="13" xfId="0" applyFont="1" applyBorder="1" applyAlignment="1">
      <alignment horizontal="left" wrapText="1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7" xfId="0" applyFont="1" applyBorder="1" applyAlignment="1">
      <alignment horizontal="left"/>
    </xf>
    <xf numFmtId="0" fontId="7" fillId="0" borderId="8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7" fillId="6" borderId="39" xfId="0" applyFont="1" applyFill="1" applyBorder="1" applyAlignment="1">
      <alignment horizontal="center"/>
    </xf>
    <xf numFmtId="0" fontId="7" fillId="6" borderId="40" xfId="0" applyFont="1" applyFill="1" applyBorder="1" applyAlignment="1">
      <alignment horizontal="center"/>
    </xf>
    <xf numFmtId="0" fontId="7" fillId="6" borderId="41" xfId="0" applyFont="1" applyFill="1" applyBorder="1" applyAlignment="1">
      <alignment horizontal="center"/>
    </xf>
    <xf numFmtId="0" fontId="7" fillId="0" borderId="2" xfId="0" applyFont="1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0" fillId="0" borderId="18" xfId="0" applyBorder="1" applyAlignment="1">
      <alignment horizontal="center" wrapText="1"/>
    </xf>
  </cellXfs>
  <cellStyles count="14">
    <cellStyle name="Normal" xfId="0" builtinId="0"/>
    <cellStyle name="Normal 10" xfId="9" xr:uid="{800DCA64-E3A1-4B31-A7A4-DA4B6AE07AED}"/>
    <cellStyle name="Normal 11" xfId="10" xr:uid="{3047CF8E-4487-4801-ADBD-BE839B14CF48}"/>
    <cellStyle name="Normal 12" xfId="11" xr:uid="{1B5ABEF7-1E06-4F10-B2FE-D565FD049C01}"/>
    <cellStyle name="Normal 13" xfId="12" xr:uid="{96A2A563-0132-4841-96F0-2E1EE444233B}"/>
    <cellStyle name="Normal 14" xfId="13" xr:uid="{C58A49BF-A41A-41B6-9D2A-BE105F8CB588}"/>
    <cellStyle name="Normal 2" xfId="1" xr:uid="{4C9FB39F-3253-41B8-BD9C-86BAFB40828F}"/>
    <cellStyle name="Normal 3" xfId="2" xr:uid="{23029BA1-EECA-46CB-9F96-4336B4998B96}"/>
    <cellStyle name="Normal 4" xfId="3" xr:uid="{858A6B90-21A4-48DD-9EBA-3553826EE2DB}"/>
    <cellStyle name="Normal 5" xfId="4" xr:uid="{DD9F9DE3-3D4C-4892-A310-39BBDA8FC633}"/>
    <cellStyle name="Normal 6" xfId="5" xr:uid="{4341E5BB-81C6-4339-AA3F-6C367D9872E2}"/>
    <cellStyle name="Normal 7" xfId="6" xr:uid="{243512EC-C518-4F5B-B22E-B9C32AA2CD58}"/>
    <cellStyle name="Normal 8" xfId="7" xr:uid="{201B9677-543D-4A74-B697-5D6E77867070}"/>
    <cellStyle name="Normal 9" xfId="8" xr:uid="{D84F7317-84A1-4956-89A2-62579B5DABAD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636270</xdr:colOff>
          <xdr:row>1</xdr:row>
          <xdr:rowOff>3810</xdr:rowOff>
        </xdr:from>
        <xdr:to>
          <xdr:col>5</xdr:col>
          <xdr:colOff>613410</xdr:colOff>
          <xdr:row>5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"Labor Distribution Payroll Summary"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632460</xdr:colOff>
          <xdr:row>6</xdr:row>
          <xdr:rowOff>3810</xdr:rowOff>
        </xdr:from>
        <xdr:to>
          <xdr:col>6</xdr:col>
          <xdr:colOff>22860</xdr:colOff>
          <xdr:row>10</xdr:row>
          <xdr:rowOff>3810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"CRYSSW Spectrum Employer Tax Expense Journal Entry Export"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</xdr:colOff>
          <xdr:row>11</xdr:row>
          <xdr:rowOff>11430</xdr:rowOff>
        </xdr:from>
        <xdr:to>
          <xdr:col>5</xdr:col>
          <xdr:colOff>621030</xdr:colOff>
          <xdr:row>14</xdr:row>
          <xdr:rowOff>144780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781050</xdr:colOff>
      <xdr:row>23</xdr:row>
      <xdr:rowOff>102870</xdr:rowOff>
    </xdr:from>
    <xdr:to>
      <xdr:col>27</xdr:col>
      <xdr:colOff>209550</xdr:colOff>
      <xdr:row>30</xdr:row>
      <xdr:rowOff>66675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D9A91BB-784F-38D4-981A-9A32F3BB59D8}"/>
            </a:ext>
          </a:extLst>
        </xdr:cNvPr>
        <xdr:cNvCxnSpPr/>
      </xdr:nvCxnSpPr>
      <xdr:spPr>
        <a:xfrm flipV="1">
          <a:off x="15049500" y="4312920"/>
          <a:ext cx="7981950" cy="1992630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542925</xdr:colOff>
      <xdr:row>25</xdr:row>
      <xdr:rowOff>190500</xdr:rowOff>
    </xdr:from>
    <xdr:to>
      <xdr:col>18</xdr:col>
      <xdr:colOff>102870</xdr:colOff>
      <xdr:row>33</xdr:row>
      <xdr:rowOff>83820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AC5A8779-50AF-4618-1C10-44BFDE4F235C}"/>
            </a:ext>
          </a:extLst>
        </xdr:cNvPr>
        <xdr:cNvCxnSpPr/>
      </xdr:nvCxnSpPr>
      <xdr:spPr>
        <a:xfrm flipH="1" flipV="1">
          <a:off x="8591550" y="5324475"/>
          <a:ext cx="7122795" cy="1550670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581025</xdr:colOff>
      <xdr:row>25</xdr:row>
      <xdr:rowOff>190500</xdr:rowOff>
    </xdr:from>
    <xdr:to>
      <xdr:col>18</xdr:col>
      <xdr:colOff>133350</xdr:colOff>
      <xdr:row>38</xdr:row>
      <xdr:rowOff>83820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6E6422A1-1B94-08A2-E673-08DA0DC5DAEA}"/>
            </a:ext>
          </a:extLst>
        </xdr:cNvPr>
        <xdr:cNvCxnSpPr/>
      </xdr:nvCxnSpPr>
      <xdr:spPr>
        <a:xfrm flipH="1" flipV="1">
          <a:off x="9267825" y="5324475"/>
          <a:ext cx="6477000" cy="2465070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590550</xdr:colOff>
      <xdr:row>35</xdr:row>
      <xdr:rowOff>104775</xdr:rowOff>
    </xdr:from>
    <xdr:to>
      <xdr:col>5</xdr:col>
      <xdr:colOff>152914</xdr:colOff>
      <xdr:row>57</xdr:row>
      <xdr:rowOff>19050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F953DF2-5907-4E7A-D782-F246157D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7975" y="7258050"/>
          <a:ext cx="3439039" cy="391477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38761D"/>
  </sheetPr>
  <dimension ref="B1:I1005"/>
  <sheetViews>
    <sheetView zoomScale="89" zoomScaleNormal="89" workbookViewId="0">
      <selection activeCell="B8" sqref="B8"/>
    </sheetView>
  </sheetViews>
  <sheetFormatPr defaultColWidth="14.41796875" defaultRowHeight="15" customHeight="1" x14ac:dyDescent="0.55000000000000004"/>
  <cols>
    <col min="1" max="1" width="3.3125" customWidth="1"/>
    <col min="2" max="2" width="35.3125" customWidth="1"/>
    <col min="3" max="3" width="12.41796875" customWidth="1"/>
    <col min="4" max="4" width="16" customWidth="1"/>
    <col min="5" max="5" width="15.3125" customWidth="1"/>
    <col min="6" max="6" width="12.3125" customWidth="1"/>
    <col min="7" max="7" width="11.5234375" customWidth="1"/>
    <col min="8" max="8" width="10.41796875" customWidth="1"/>
    <col min="9" max="26" width="8.68359375" customWidth="1"/>
  </cols>
  <sheetData>
    <row r="1" spans="2:9" ht="14.25" customHeight="1" x14ac:dyDescent="0.55000000000000004">
      <c r="B1" s="1" t="s">
        <v>0</v>
      </c>
      <c r="C1" s="2"/>
      <c r="D1" s="2"/>
      <c r="E1" s="3"/>
      <c r="F1" s="2"/>
      <c r="G1" s="2"/>
    </row>
    <row r="2" spans="2:9" ht="14.25" customHeight="1" x14ac:dyDescent="0.55000000000000004">
      <c r="B2" s="4" t="s">
        <v>1</v>
      </c>
      <c r="C2" s="5" t="e">
        <f>SUM(#REF!)</f>
        <v>#REF!</v>
      </c>
      <c r="D2" s="2" t="s">
        <v>2</v>
      </c>
      <c r="E2" s="2"/>
      <c r="F2" s="2"/>
      <c r="G2" s="2"/>
      <c r="H2" s="3"/>
      <c r="I2" s="2"/>
    </row>
    <row r="3" spans="2:9" ht="14.25" customHeight="1" x14ac:dyDescent="0.55000000000000004">
      <c r="B3" s="4" t="s">
        <v>3</v>
      </c>
      <c r="C3" s="3" t="e">
        <f>SUM(#REF!)</f>
        <v>#REF!</v>
      </c>
      <c r="D3" s="2" t="s">
        <v>4</v>
      </c>
      <c r="E3" s="2"/>
      <c r="F3" s="2"/>
      <c r="G3" s="2"/>
      <c r="H3" s="5"/>
      <c r="I3" s="2"/>
    </row>
    <row r="4" spans="2:9" ht="14.25" customHeight="1" x14ac:dyDescent="0.55000000000000004">
      <c r="B4" s="6" t="s">
        <v>5</v>
      </c>
      <c r="C4" s="7" t="e">
        <f>C2-C3</f>
        <v>#REF!</v>
      </c>
      <c r="D4" s="2"/>
      <c r="E4" s="2"/>
      <c r="F4" s="2"/>
      <c r="G4" s="2"/>
      <c r="H4" s="3"/>
      <c r="I4" s="2"/>
    </row>
    <row r="5" spans="2:9" ht="14.25" customHeight="1" x14ac:dyDescent="0.55000000000000004">
      <c r="C5" s="2"/>
      <c r="D5" s="2"/>
      <c r="E5" s="2"/>
      <c r="F5" s="2"/>
      <c r="G5" s="2"/>
    </row>
    <row r="6" spans="2:9" ht="14.25" customHeight="1" x14ac:dyDescent="0.55000000000000004">
      <c r="C6" s="2"/>
      <c r="D6" s="2"/>
      <c r="E6" s="2"/>
      <c r="F6" s="2"/>
      <c r="G6" s="2"/>
    </row>
    <row r="7" spans="2:9" ht="14.25" customHeight="1" x14ac:dyDescent="0.55000000000000004">
      <c r="B7" s="8" t="s">
        <v>6</v>
      </c>
      <c r="C7" s="2"/>
      <c r="D7" s="2"/>
      <c r="E7" s="2"/>
      <c r="F7" s="2"/>
      <c r="G7" s="2"/>
    </row>
    <row r="8" spans="2:9" ht="14.25" customHeight="1" x14ac:dyDescent="0.55000000000000004">
      <c r="B8" s="9" t="s">
        <v>4</v>
      </c>
      <c r="C8" s="5" t="e">
        <f>SUM(#REF!)</f>
        <v>#REF!</v>
      </c>
      <c r="D8" s="2"/>
      <c r="E8" s="2"/>
      <c r="F8" s="2"/>
      <c r="G8" s="2"/>
    </row>
    <row r="9" spans="2:9" ht="14.25" customHeight="1" x14ac:dyDescent="0.55000000000000004">
      <c r="B9" s="9" t="s">
        <v>2</v>
      </c>
      <c r="C9" s="5" t="e">
        <f>SUM(#REF!)</f>
        <v>#REF!</v>
      </c>
      <c r="D9" s="2"/>
      <c r="E9" s="2"/>
      <c r="F9" s="2"/>
      <c r="G9" s="2"/>
    </row>
    <row r="10" spans="2:9" ht="14.25" customHeight="1" x14ac:dyDescent="0.55000000000000004">
      <c r="B10" s="6" t="s">
        <v>5</v>
      </c>
      <c r="C10" s="7" t="e">
        <f>C8-C9</f>
        <v>#REF!</v>
      </c>
      <c r="D10" s="2"/>
      <c r="E10" s="2"/>
      <c r="F10" s="2"/>
      <c r="G10" s="2"/>
    </row>
    <row r="11" spans="2:9" ht="14.25" customHeight="1" x14ac:dyDescent="0.55000000000000004">
      <c r="C11" s="2"/>
      <c r="D11" s="2"/>
      <c r="E11" s="2"/>
      <c r="F11" s="2"/>
      <c r="G11" s="2"/>
    </row>
    <row r="12" spans="2:9" ht="14.25" customHeight="1" x14ac:dyDescent="0.55000000000000004">
      <c r="B12" s="4" t="s">
        <v>7</v>
      </c>
      <c r="C12" s="2"/>
      <c r="D12" s="2"/>
      <c r="E12" s="2"/>
      <c r="F12" s="2"/>
      <c r="G12" s="2"/>
    </row>
    <row r="13" spans="2:9" ht="14.25" customHeight="1" x14ac:dyDescent="0.55000000000000004">
      <c r="C13" s="2" t="s">
        <v>8</v>
      </c>
      <c r="D13" s="2" t="s">
        <v>9</v>
      </c>
      <c r="E13" s="2" t="s">
        <v>10</v>
      </c>
      <c r="F13" s="2" t="s">
        <v>11</v>
      </c>
      <c r="G13" s="2" t="s">
        <v>12</v>
      </c>
      <c r="H13" s="4" t="s">
        <v>13</v>
      </c>
    </row>
    <row r="14" spans="2:9" ht="14.25" customHeight="1" x14ac:dyDescent="0.55000000000000004">
      <c r="B14" s="10" t="s">
        <v>14</v>
      </c>
      <c r="C14" s="2"/>
      <c r="D14" s="2"/>
      <c r="E14" s="2"/>
      <c r="F14" s="2"/>
      <c r="G14" s="2"/>
    </row>
    <row r="15" spans="2:9" ht="14.25" customHeight="1" x14ac:dyDescent="0.55000000000000004">
      <c r="B15" s="4" t="s">
        <v>15</v>
      </c>
      <c r="C15" s="2" t="s">
        <v>16</v>
      </c>
      <c r="D15" s="2" t="s">
        <v>17</v>
      </c>
      <c r="E15" s="2" t="s">
        <v>18</v>
      </c>
      <c r="F15" s="2">
        <v>77776001</v>
      </c>
      <c r="G15" s="2" t="s">
        <v>19</v>
      </c>
      <c r="H15" s="4" t="s">
        <v>20</v>
      </c>
    </row>
    <row r="16" spans="2:9" ht="14.25" customHeight="1" x14ac:dyDescent="0.55000000000000004">
      <c r="B16" s="4" t="s">
        <v>21</v>
      </c>
      <c r="C16" s="2" t="s">
        <v>16</v>
      </c>
      <c r="D16" s="2" t="s">
        <v>17</v>
      </c>
      <c r="E16" s="2" t="s">
        <v>18</v>
      </c>
      <c r="F16" s="2">
        <v>9901</v>
      </c>
      <c r="G16" s="2" t="s">
        <v>19</v>
      </c>
      <c r="H16" s="4" t="s">
        <v>20</v>
      </c>
    </row>
    <row r="17" spans="2:8" ht="14.25" customHeight="1" x14ac:dyDescent="0.55000000000000004">
      <c r="B17" s="4" t="s">
        <v>22</v>
      </c>
      <c r="C17" s="2"/>
      <c r="D17" s="2"/>
      <c r="E17" s="2"/>
      <c r="F17" s="2"/>
      <c r="G17" s="2"/>
    </row>
    <row r="18" spans="2:8" ht="14.25" customHeight="1" x14ac:dyDescent="0.55000000000000004">
      <c r="C18" s="2"/>
      <c r="D18" s="2"/>
      <c r="E18" s="2"/>
      <c r="F18" s="2"/>
      <c r="G18" s="2"/>
    </row>
    <row r="19" spans="2:8" ht="14.25" customHeight="1" x14ac:dyDescent="0.55000000000000004">
      <c r="B19" s="10" t="s">
        <v>23</v>
      </c>
      <c r="C19" s="2"/>
      <c r="D19" s="2"/>
      <c r="E19" s="2"/>
      <c r="F19" s="2"/>
      <c r="G19" s="2"/>
    </row>
    <row r="20" spans="2:8" ht="14.25" customHeight="1" x14ac:dyDescent="0.55000000000000004">
      <c r="B20" s="4" t="s">
        <v>24</v>
      </c>
      <c r="C20" s="2" t="s">
        <v>25</v>
      </c>
      <c r="D20" s="2" t="s">
        <v>17</v>
      </c>
      <c r="E20" s="2" t="s">
        <v>18</v>
      </c>
      <c r="F20" s="2" t="s">
        <v>17</v>
      </c>
      <c r="G20" s="2" t="s">
        <v>17</v>
      </c>
      <c r="H20" s="11" t="s">
        <v>26</v>
      </c>
    </row>
    <row r="21" spans="2:8" ht="14.25" customHeight="1" x14ac:dyDescent="0.55000000000000004">
      <c r="C21" s="2"/>
      <c r="D21" s="2"/>
      <c r="E21" s="2"/>
      <c r="F21" s="2"/>
      <c r="G21" s="2"/>
    </row>
    <row r="22" spans="2:8" ht="14.25" customHeight="1" x14ac:dyDescent="0.55000000000000004">
      <c r="C22" s="2"/>
      <c r="D22" s="2"/>
      <c r="E22" s="2"/>
      <c r="F22" s="2"/>
      <c r="G22" s="2"/>
    </row>
    <row r="23" spans="2:8" ht="14.25" customHeight="1" x14ac:dyDescent="0.55000000000000004">
      <c r="B23" s="10" t="s">
        <v>27</v>
      </c>
      <c r="C23" s="2"/>
      <c r="D23" s="2"/>
      <c r="E23" s="2"/>
      <c r="F23" s="2"/>
      <c r="G23" s="2"/>
    </row>
    <row r="24" spans="2:8" ht="14.25" customHeight="1" x14ac:dyDescent="0.55000000000000004">
      <c r="B24" s="4" t="s">
        <v>24</v>
      </c>
      <c r="C24" s="2" t="s">
        <v>28</v>
      </c>
      <c r="D24" s="2" t="s">
        <v>17</v>
      </c>
      <c r="E24" s="2" t="s">
        <v>18</v>
      </c>
      <c r="F24" s="2" t="s">
        <v>17</v>
      </c>
      <c r="G24" s="2" t="s">
        <v>17</v>
      </c>
      <c r="H24" s="11" t="s">
        <v>29</v>
      </c>
    </row>
    <row r="25" spans="2:8" ht="14.25" customHeight="1" x14ac:dyDescent="0.55000000000000004">
      <c r="C25" s="2"/>
      <c r="D25" s="2"/>
      <c r="E25" s="2"/>
      <c r="F25" s="2"/>
      <c r="G25" s="2"/>
    </row>
    <row r="26" spans="2:8" ht="14.25" customHeight="1" x14ac:dyDescent="0.55000000000000004">
      <c r="C26" s="2"/>
      <c r="D26" s="2"/>
      <c r="E26" s="2"/>
      <c r="F26" s="2"/>
      <c r="G26" s="2"/>
    </row>
    <row r="27" spans="2:8" ht="14.25" customHeight="1" x14ac:dyDescent="0.55000000000000004">
      <c r="B27" s="10" t="s">
        <v>30</v>
      </c>
      <c r="C27" s="2"/>
      <c r="D27" s="2"/>
      <c r="E27" s="2"/>
      <c r="F27" s="2"/>
      <c r="G27" s="2"/>
    </row>
    <row r="28" spans="2:8" ht="14.25" customHeight="1" x14ac:dyDescent="0.55000000000000004">
      <c r="B28" s="4" t="s">
        <v>24</v>
      </c>
      <c r="C28" s="12">
        <v>1892</v>
      </c>
      <c r="D28" s="2" t="s">
        <v>17</v>
      </c>
      <c r="E28" s="2" t="s">
        <v>31</v>
      </c>
      <c r="F28" s="2">
        <v>1010</v>
      </c>
      <c r="G28" s="2" t="s">
        <v>32</v>
      </c>
    </row>
    <row r="29" spans="2:8" ht="14.25" customHeight="1" x14ac:dyDescent="0.55000000000000004">
      <c r="C29" s="2"/>
      <c r="D29" s="2"/>
      <c r="E29" s="2"/>
      <c r="F29" s="2"/>
      <c r="G29" s="2"/>
    </row>
    <row r="30" spans="2:8" ht="14.25" customHeight="1" x14ac:dyDescent="0.55000000000000004">
      <c r="C30" s="2"/>
      <c r="D30" s="2"/>
      <c r="E30" s="2"/>
      <c r="F30" s="2"/>
      <c r="G30" s="2"/>
    </row>
    <row r="31" spans="2:8" ht="14.25" customHeight="1" x14ac:dyDescent="0.55000000000000004">
      <c r="C31" s="2"/>
      <c r="D31" s="2"/>
      <c r="E31" s="2"/>
      <c r="F31" s="2"/>
      <c r="G31" s="2"/>
    </row>
    <row r="32" spans="2:8" ht="14.25" customHeight="1" x14ac:dyDescent="0.55000000000000004">
      <c r="B32" s="13" t="s">
        <v>33</v>
      </c>
      <c r="C32" s="14" t="s">
        <v>34</v>
      </c>
      <c r="D32" s="14" t="s">
        <v>26</v>
      </c>
      <c r="E32" s="14" t="s">
        <v>29</v>
      </c>
      <c r="F32" s="14" t="s">
        <v>35</v>
      </c>
      <c r="G32" s="2"/>
    </row>
    <row r="33" spans="2:7" ht="13.8" customHeight="1" x14ac:dyDescent="0.55000000000000004">
      <c r="B33" s="15" t="s">
        <v>36</v>
      </c>
      <c r="C33" s="16">
        <v>1010020</v>
      </c>
      <c r="D33" s="16">
        <v>1010900</v>
      </c>
      <c r="E33" s="16">
        <v>1010000</v>
      </c>
      <c r="F33" s="16">
        <v>1010000</v>
      </c>
      <c r="G33" s="2"/>
    </row>
    <row r="34" spans="2:7" ht="14.25" customHeight="1" x14ac:dyDescent="0.55000000000000004">
      <c r="B34" s="15" t="s">
        <v>37</v>
      </c>
      <c r="C34" s="16">
        <v>1012020</v>
      </c>
      <c r="D34" s="16">
        <v>1012900</v>
      </c>
      <c r="E34" s="16">
        <v>1012000</v>
      </c>
      <c r="F34" s="16">
        <v>1012000</v>
      </c>
      <c r="G34" s="2"/>
    </row>
    <row r="35" spans="2:7" ht="14.25" customHeight="1" x14ac:dyDescent="0.55000000000000004">
      <c r="B35" s="15" t="s">
        <v>38</v>
      </c>
      <c r="C35" s="16">
        <v>1058020</v>
      </c>
      <c r="D35" s="16">
        <v>1058900</v>
      </c>
      <c r="E35" s="16">
        <v>1058000</v>
      </c>
      <c r="F35" s="16">
        <v>1058000</v>
      </c>
      <c r="G35" s="2"/>
    </row>
    <row r="36" spans="2:7" ht="14.25" customHeight="1" x14ac:dyDescent="0.55000000000000004">
      <c r="B36" s="15" t="s">
        <v>39</v>
      </c>
      <c r="C36" s="16">
        <v>1050020</v>
      </c>
      <c r="D36" s="16">
        <v>1050900</v>
      </c>
      <c r="E36" s="16">
        <v>1050000</v>
      </c>
      <c r="F36" s="16">
        <v>1050000</v>
      </c>
      <c r="G36" s="2"/>
    </row>
    <row r="37" spans="2:7" ht="14.25" customHeight="1" x14ac:dyDescent="0.55000000000000004">
      <c r="B37" s="15" t="s">
        <v>40</v>
      </c>
      <c r="C37" s="16">
        <v>1030020</v>
      </c>
      <c r="D37" s="16">
        <v>1030900</v>
      </c>
      <c r="E37" s="16">
        <v>1030000</v>
      </c>
      <c r="F37" s="16">
        <v>1030000</v>
      </c>
      <c r="G37" s="2"/>
    </row>
    <row r="38" spans="2:7" ht="14.25" customHeight="1" x14ac:dyDescent="0.55000000000000004">
      <c r="C38" s="2"/>
      <c r="D38" s="2"/>
      <c r="E38" s="2"/>
      <c r="F38" s="2"/>
      <c r="G38" s="2"/>
    </row>
    <row r="39" spans="2:7" ht="14.25" customHeight="1" x14ac:dyDescent="0.55000000000000004">
      <c r="C39" s="2"/>
      <c r="D39" s="2"/>
      <c r="E39" s="2"/>
      <c r="F39" s="2"/>
      <c r="G39" s="2"/>
    </row>
    <row r="40" spans="2:7" ht="14.25" customHeight="1" x14ac:dyDescent="0.55000000000000004">
      <c r="C40" s="2"/>
      <c r="D40" s="2"/>
      <c r="E40" s="2"/>
      <c r="F40" s="2"/>
      <c r="G40" s="2"/>
    </row>
    <row r="41" spans="2:7" ht="14.25" customHeight="1" x14ac:dyDescent="0.55000000000000004">
      <c r="C41" s="2"/>
      <c r="D41" s="2"/>
      <c r="E41" s="2"/>
      <c r="F41" s="2"/>
      <c r="G41" s="2"/>
    </row>
    <row r="42" spans="2:7" ht="14.25" customHeight="1" x14ac:dyDescent="0.55000000000000004">
      <c r="C42" s="2"/>
      <c r="D42" s="2"/>
      <c r="E42" s="2"/>
      <c r="F42" s="2"/>
      <c r="G42" s="2"/>
    </row>
    <row r="43" spans="2:7" ht="14.25" customHeight="1" x14ac:dyDescent="0.55000000000000004">
      <c r="C43" s="2"/>
      <c r="D43" s="2"/>
      <c r="E43" s="2"/>
      <c r="F43" s="2"/>
      <c r="G43" s="2"/>
    </row>
    <row r="44" spans="2:7" ht="14.25" customHeight="1" x14ac:dyDescent="0.55000000000000004">
      <c r="C44" s="2"/>
      <c r="D44" s="2"/>
      <c r="E44" s="2"/>
      <c r="F44" s="2"/>
      <c r="G44" s="2"/>
    </row>
    <row r="45" spans="2:7" ht="14.25" customHeight="1" x14ac:dyDescent="0.55000000000000004">
      <c r="C45" s="2"/>
      <c r="D45" s="2"/>
      <c r="E45" s="2"/>
      <c r="F45" s="2"/>
      <c r="G45" s="2"/>
    </row>
    <row r="46" spans="2:7" ht="14.25" customHeight="1" x14ac:dyDescent="0.55000000000000004">
      <c r="C46" s="2"/>
      <c r="D46" s="2"/>
      <c r="E46" s="2"/>
      <c r="F46" s="2"/>
      <c r="G46" s="2"/>
    </row>
    <row r="47" spans="2:7" ht="14.25" customHeight="1" x14ac:dyDescent="0.55000000000000004">
      <c r="C47" s="2"/>
      <c r="D47" s="2"/>
      <c r="E47" s="2"/>
      <c r="F47" s="2"/>
      <c r="G47" s="2"/>
    </row>
    <row r="48" spans="2:7" ht="14.25" customHeight="1" x14ac:dyDescent="0.55000000000000004">
      <c r="C48" s="2"/>
      <c r="D48" s="2"/>
      <c r="E48" s="2"/>
      <c r="F48" s="2"/>
      <c r="G48" s="2"/>
    </row>
    <row r="49" spans="3:7" ht="14.25" customHeight="1" x14ac:dyDescent="0.55000000000000004">
      <c r="C49" s="2"/>
      <c r="D49" s="2"/>
      <c r="E49" s="2"/>
      <c r="F49" s="2"/>
      <c r="G49" s="2"/>
    </row>
    <row r="50" spans="3:7" ht="14.25" customHeight="1" x14ac:dyDescent="0.55000000000000004">
      <c r="C50" s="2"/>
      <c r="D50" s="2"/>
      <c r="E50" s="2"/>
      <c r="F50" s="2"/>
      <c r="G50" s="2"/>
    </row>
    <row r="51" spans="3:7" ht="14.25" customHeight="1" x14ac:dyDescent="0.55000000000000004">
      <c r="C51" s="2"/>
      <c r="D51" s="2"/>
      <c r="E51" s="2"/>
      <c r="F51" s="2"/>
      <c r="G51" s="2"/>
    </row>
    <row r="52" spans="3:7" ht="14.25" customHeight="1" x14ac:dyDescent="0.55000000000000004">
      <c r="C52" s="2"/>
      <c r="D52" s="2"/>
      <c r="E52" s="2"/>
      <c r="F52" s="2"/>
      <c r="G52" s="2"/>
    </row>
    <row r="53" spans="3:7" ht="14.25" customHeight="1" x14ac:dyDescent="0.55000000000000004">
      <c r="C53" s="2"/>
      <c r="D53" s="2"/>
      <c r="E53" s="2"/>
      <c r="F53" s="2"/>
      <c r="G53" s="2"/>
    </row>
    <row r="54" spans="3:7" ht="14.25" customHeight="1" x14ac:dyDescent="0.55000000000000004">
      <c r="C54" s="2"/>
      <c r="D54" s="2"/>
      <c r="E54" s="2"/>
      <c r="F54" s="2"/>
      <c r="G54" s="2"/>
    </row>
    <row r="55" spans="3:7" ht="14.25" customHeight="1" x14ac:dyDescent="0.55000000000000004">
      <c r="C55" s="2"/>
      <c r="D55" s="2"/>
      <c r="E55" s="2"/>
      <c r="F55" s="2"/>
      <c r="G55" s="2"/>
    </row>
    <row r="56" spans="3:7" ht="14.25" customHeight="1" x14ac:dyDescent="0.55000000000000004">
      <c r="C56" s="2"/>
      <c r="D56" s="2"/>
      <c r="E56" s="2"/>
      <c r="F56" s="2"/>
      <c r="G56" s="2"/>
    </row>
    <row r="57" spans="3:7" ht="14.25" customHeight="1" x14ac:dyDescent="0.55000000000000004">
      <c r="C57" s="2"/>
      <c r="D57" s="2"/>
      <c r="E57" s="2"/>
      <c r="F57" s="2"/>
      <c r="G57" s="2"/>
    </row>
    <row r="58" spans="3:7" ht="14.25" customHeight="1" x14ac:dyDescent="0.55000000000000004">
      <c r="C58" s="2"/>
      <c r="D58" s="2"/>
      <c r="E58" s="2"/>
      <c r="F58" s="2"/>
      <c r="G58" s="2"/>
    </row>
    <row r="59" spans="3:7" ht="14.25" customHeight="1" x14ac:dyDescent="0.55000000000000004">
      <c r="C59" s="2"/>
      <c r="D59" s="2"/>
      <c r="E59" s="2"/>
      <c r="F59" s="2"/>
      <c r="G59" s="2"/>
    </row>
    <row r="60" spans="3:7" ht="14.25" customHeight="1" x14ac:dyDescent="0.55000000000000004">
      <c r="C60" s="2"/>
      <c r="D60" s="2"/>
      <c r="E60" s="2"/>
      <c r="F60" s="2"/>
      <c r="G60" s="2"/>
    </row>
    <row r="61" spans="3:7" ht="14.25" customHeight="1" x14ac:dyDescent="0.55000000000000004">
      <c r="C61" s="2"/>
      <c r="D61" s="2"/>
      <c r="E61" s="2"/>
      <c r="F61" s="2"/>
      <c r="G61" s="2"/>
    </row>
    <row r="62" spans="3:7" ht="14.25" customHeight="1" x14ac:dyDescent="0.55000000000000004">
      <c r="C62" s="2"/>
      <c r="D62" s="2"/>
      <c r="E62" s="2"/>
      <c r="F62" s="2"/>
      <c r="G62" s="2"/>
    </row>
    <row r="63" spans="3:7" ht="14.25" customHeight="1" x14ac:dyDescent="0.55000000000000004">
      <c r="C63" s="2"/>
      <c r="D63" s="2"/>
      <c r="E63" s="2"/>
      <c r="F63" s="2"/>
      <c r="G63" s="2"/>
    </row>
    <row r="64" spans="3:7" ht="14.25" customHeight="1" x14ac:dyDescent="0.55000000000000004">
      <c r="C64" s="2"/>
      <c r="D64" s="2"/>
      <c r="E64" s="2"/>
      <c r="F64" s="2"/>
      <c r="G64" s="2"/>
    </row>
    <row r="65" spans="3:7" ht="14.25" customHeight="1" x14ac:dyDescent="0.55000000000000004">
      <c r="C65" s="2"/>
      <c r="D65" s="2"/>
      <c r="E65" s="2"/>
      <c r="F65" s="2"/>
      <c r="G65" s="2"/>
    </row>
    <row r="66" spans="3:7" ht="14.25" customHeight="1" x14ac:dyDescent="0.55000000000000004">
      <c r="C66" s="2"/>
      <c r="D66" s="2"/>
      <c r="E66" s="2"/>
      <c r="F66" s="2"/>
      <c r="G66" s="2"/>
    </row>
    <row r="67" spans="3:7" ht="14.25" customHeight="1" x14ac:dyDescent="0.55000000000000004">
      <c r="C67" s="2"/>
      <c r="D67" s="2"/>
      <c r="E67" s="2"/>
      <c r="F67" s="2"/>
      <c r="G67" s="2"/>
    </row>
    <row r="68" spans="3:7" ht="14.25" customHeight="1" x14ac:dyDescent="0.55000000000000004">
      <c r="C68" s="2"/>
      <c r="D68" s="2"/>
      <c r="E68" s="2"/>
      <c r="F68" s="2"/>
      <c r="G68" s="2"/>
    </row>
    <row r="69" spans="3:7" ht="14.25" customHeight="1" x14ac:dyDescent="0.55000000000000004">
      <c r="C69" s="2"/>
      <c r="D69" s="2"/>
      <c r="E69" s="2"/>
      <c r="F69" s="2"/>
      <c r="G69" s="2"/>
    </row>
    <row r="70" spans="3:7" ht="14.25" customHeight="1" x14ac:dyDescent="0.55000000000000004">
      <c r="C70" s="2"/>
      <c r="D70" s="2"/>
      <c r="E70" s="2"/>
      <c r="F70" s="2"/>
      <c r="G70" s="2"/>
    </row>
    <row r="71" spans="3:7" ht="14.25" customHeight="1" x14ac:dyDescent="0.55000000000000004">
      <c r="C71" s="2"/>
      <c r="D71" s="2"/>
      <c r="E71" s="2"/>
      <c r="F71" s="2"/>
      <c r="G71" s="2"/>
    </row>
    <row r="72" spans="3:7" ht="14.25" customHeight="1" x14ac:dyDescent="0.55000000000000004">
      <c r="C72" s="2"/>
      <c r="D72" s="2"/>
      <c r="E72" s="2"/>
      <c r="F72" s="2"/>
      <c r="G72" s="2"/>
    </row>
    <row r="73" spans="3:7" ht="14.25" customHeight="1" x14ac:dyDescent="0.55000000000000004">
      <c r="C73" s="2"/>
      <c r="D73" s="2"/>
      <c r="E73" s="2"/>
      <c r="F73" s="2"/>
      <c r="G73" s="2"/>
    </row>
    <row r="74" spans="3:7" ht="14.25" customHeight="1" x14ac:dyDescent="0.55000000000000004">
      <c r="C74" s="2"/>
      <c r="D74" s="2"/>
      <c r="E74" s="2"/>
      <c r="F74" s="2"/>
      <c r="G74" s="2"/>
    </row>
    <row r="75" spans="3:7" ht="14.25" customHeight="1" x14ac:dyDescent="0.55000000000000004">
      <c r="C75" s="2"/>
      <c r="D75" s="2"/>
      <c r="E75" s="2"/>
      <c r="F75" s="2"/>
      <c r="G75" s="2"/>
    </row>
    <row r="76" spans="3:7" ht="14.25" customHeight="1" x14ac:dyDescent="0.55000000000000004">
      <c r="C76" s="2"/>
      <c r="D76" s="2"/>
      <c r="E76" s="2"/>
      <c r="F76" s="2"/>
      <c r="G76" s="2"/>
    </row>
    <row r="77" spans="3:7" ht="14.25" customHeight="1" x14ac:dyDescent="0.55000000000000004">
      <c r="C77" s="2"/>
      <c r="D77" s="2"/>
      <c r="E77" s="2"/>
      <c r="F77" s="2"/>
      <c r="G77" s="2"/>
    </row>
    <row r="78" spans="3:7" ht="14.25" customHeight="1" x14ac:dyDescent="0.55000000000000004">
      <c r="C78" s="2"/>
      <c r="D78" s="2"/>
      <c r="E78" s="2"/>
      <c r="F78" s="2"/>
      <c r="G78" s="2"/>
    </row>
    <row r="79" spans="3:7" ht="14.25" customHeight="1" x14ac:dyDescent="0.55000000000000004">
      <c r="C79" s="2"/>
      <c r="D79" s="2"/>
      <c r="E79" s="2"/>
      <c r="F79" s="2"/>
      <c r="G79" s="2"/>
    </row>
    <row r="80" spans="3:7" ht="14.25" customHeight="1" x14ac:dyDescent="0.55000000000000004">
      <c r="C80" s="2"/>
      <c r="D80" s="2"/>
      <c r="E80" s="2"/>
      <c r="F80" s="2"/>
      <c r="G80" s="2"/>
    </row>
    <row r="81" spans="3:7" ht="14.25" customHeight="1" x14ac:dyDescent="0.55000000000000004">
      <c r="C81" s="2"/>
      <c r="D81" s="2"/>
      <c r="E81" s="2"/>
      <c r="F81" s="2"/>
      <c r="G81" s="2"/>
    </row>
    <row r="82" spans="3:7" ht="14.25" customHeight="1" x14ac:dyDescent="0.55000000000000004">
      <c r="C82" s="2"/>
      <c r="D82" s="2"/>
      <c r="E82" s="2"/>
      <c r="F82" s="2"/>
      <c r="G82" s="2"/>
    </row>
    <row r="83" spans="3:7" ht="14.25" customHeight="1" x14ac:dyDescent="0.55000000000000004">
      <c r="C83" s="2"/>
      <c r="D83" s="2"/>
      <c r="E83" s="2"/>
      <c r="F83" s="2"/>
      <c r="G83" s="2"/>
    </row>
    <row r="84" spans="3:7" ht="14.25" customHeight="1" x14ac:dyDescent="0.55000000000000004">
      <c r="C84" s="2"/>
      <c r="D84" s="2"/>
      <c r="E84" s="2"/>
      <c r="F84" s="2"/>
      <c r="G84" s="2"/>
    </row>
    <row r="85" spans="3:7" ht="14.25" customHeight="1" x14ac:dyDescent="0.55000000000000004">
      <c r="C85" s="2"/>
      <c r="D85" s="2"/>
      <c r="E85" s="2"/>
      <c r="F85" s="2"/>
      <c r="G85" s="2"/>
    </row>
    <row r="86" spans="3:7" ht="14.25" customHeight="1" x14ac:dyDescent="0.55000000000000004">
      <c r="C86" s="2"/>
      <c r="D86" s="2"/>
      <c r="E86" s="2"/>
      <c r="F86" s="2"/>
      <c r="G86" s="2"/>
    </row>
    <row r="87" spans="3:7" ht="14.25" customHeight="1" x14ac:dyDescent="0.55000000000000004">
      <c r="C87" s="2"/>
      <c r="D87" s="2"/>
      <c r="E87" s="2"/>
      <c r="F87" s="2"/>
      <c r="G87" s="2"/>
    </row>
    <row r="88" spans="3:7" ht="14.25" customHeight="1" x14ac:dyDescent="0.55000000000000004">
      <c r="C88" s="2"/>
      <c r="D88" s="2"/>
      <c r="E88" s="2"/>
      <c r="F88" s="2"/>
      <c r="G88" s="2"/>
    </row>
    <row r="89" spans="3:7" ht="14.25" customHeight="1" x14ac:dyDescent="0.55000000000000004">
      <c r="C89" s="2"/>
      <c r="D89" s="2"/>
      <c r="E89" s="2"/>
      <c r="F89" s="2"/>
      <c r="G89" s="2"/>
    </row>
    <row r="90" spans="3:7" ht="14.25" customHeight="1" x14ac:dyDescent="0.55000000000000004">
      <c r="C90" s="2"/>
      <c r="D90" s="2"/>
      <c r="E90" s="2"/>
      <c r="F90" s="2"/>
      <c r="G90" s="2"/>
    </row>
    <row r="91" spans="3:7" ht="14.25" customHeight="1" x14ac:dyDescent="0.55000000000000004">
      <c r="C91" s="2"/>
      <c r="D91" s="2"/>
      <c r="E91" s="2"/>
      <c r="F91" s="2"/>
      <c r="G91" s="2"/>
    </row>
    <row r="92" spans="3:7" ht="14.25" customHeight="1" x14ac:dyDescent="0.55000000000000004">
      <c r="C92" s="2"/>
      <c r="D92" s="2"/>
      <c r="E92" s="2"/>
      <c r="F92" s="2"/>
      <c r="G92" s="2"/>
    </row>
    <row r="93" spans="3:7" ht="14.25" customHeight="1" x14ac:dyDescent="0.55000000000000004">
      <c r="C93" s="2"/>
      <c r="D93" s="2"/>
      <c r="E93" s="2"/>
      <c r="F93" s="2"/>
      <c r="G93" s="2"/>
    </row>
    <row r="94" spans="3:7" ht="14.25" customHeight="1" x14ac:dyDescent="0.55000000000000004">
      <c r="C94" s="2"/>
      <c r="D94" s="2"/>
      <c r="E94" s="2"/>
      <c r="F94" s="2"/>
      <c r="G94" s="2"/>
    </row>
    <row r="95" spans="3:7" ht="14.25" customHeight="1" x14ac:dyDescent="0.55000000000000004">
      <c r="C95" s="2"/>
      <c r="D95" s="2"/>
      <c r="E95" s="2"/>
      <c r="F95" s="2"/>
      <c r="G95" s="2"/>
    </row>
    <row r="96" spans="3:7" ht="14.25" customHeight="1" x14ac:dyDescent="0.55000000000000004">
      <c r="C96" s="2"/>
      <c r="D96" s="2"/>
      <c r="E96" s="2"/>
      <c r="F96" s="2"/>
      <c r="G96" s="2"/>
    </row>
    <row r="97" spans="3:7" ht="14.25" customHeight="1" x14ac:dyDescent="0.55000000000000004">
      <c r="C97" s="2"/>
      <c r="D97" s="2"/>
      <c r="E97" s="2"/>
      <c r="F97" s="2"/>
      <c r="G97" s="2"/>
    </row>
    <row r="98" spans="3:7" ht="14.25" customHeight="1" x14ac:dyDescent="0.55000000000000004">
      <c r="C98" s="2"/>
      <c r="D98" s="2"/>
      <c r="E98" s="2"/>
      <c r="F98" s="2"/>
      <c r="G98" s="2"/>
    </row>
    <row r="99" spans="3:7" ht="14.25" customHeight="1" x14ac:dyDescent="0.55000000000000004">
      <c r="C99" s="2"/>
      <c r="D99" s="2"/>
      <c r="E99" s="2"/>
      <c r="F99" s="2"/>
      <c r="G99" s="2"/>
    </row>
    <row r="100" spans="3:7" ht="14.25" customHeight="1" x14ac:dyDescent="0.55000000000000004">
      <c r="C100" s="2"/>
      <c r="D100" s="2"/>
      <c r="E100" s="2"/>
      <c r="F100" s="2"/>
      <c r="G100" s="2"/>
    </row>
    <row r="101" spans="3:7" ht="14.25" customHeight="1" x14ac:dyDescent="0.55000000000000004">
      <c r="C101" s="2"/>
      <c r="D101" s="2"/>
      <c r="E101" s="2"/>
      <c r="F101" s="2"/>
      <c r="G101" s="2"/>
    </row>
    <row r="102" spans="3:7" ht="14.25" customHeight="1" x14ac:dyDescent="0.55000000000000004">
      <c r="C102" s="2"/>
      <c r="D102" s="2"/>
      <c r="E102" s="2"/>
      <c r="F102" s="2"/>
      <c r="G102" s="2"/>
    </row>
    <row r="103" spans="3:7" ht="14.25" customHeight="1" x14ac:dyDescent="0.55000000000000004">
      <c r="C103" s="2"/>
      <c r="D103" s="2"/>
      <c r="E103" s="2"/>
      <c r="F103" s="2"/>
      <c r="G103" s="2"/>
    </row>
    <row r="104" spans="3:7" ht="14.25" customHeight="1" x14ac:dyDescent="0.55000000000000004">
      <c r="C104" s="2"/>
      <c r="D104" s="2"/>
      <c r="E104" s="2"/>
      <c r="F104" s="2"/>
      <c r="G104" s="2"/>
    </row>
    <row r="105" spans="3:7" ht="14.25" customHeight="1" x14ac:dyDescent="0.55000000000000004">
      <c r="C105" s="2"/>
      <c r="D105" s="2"/>
      <c r="E105" s="2"/>
      <c r="F105" s="2"/>
      <c r="G105" s="2"/>
    </row>
    <row r="106" spans="3:7" ht="14.25" customHeight="1" x14ac:dyDescent="0.55000000000000004">
      <c r="C106" s="2"/>
      <c r="D106" s="2"/>
      <c r="E106" s="2"/>
      <c r="F106" s="2"/>
      <c r="G106" s="2"/>
    </row>
    <row r="107" spans="3:7" ht="14.25" customHeight="1" x14ac:dyDescent="0.55000000000000004">
      <c r="C107" s="2"/>
      <c r="D107" s="2"/>
      <c r="E107" s="2"/>
      <c r="F107" s="2"/>
      <c r="G107" s="2"/>
    </row>
    <row r="108" spans="3:7" ht="14.25" customHeight="1" x14ac:dyDescent="0.55000000000000004">
      <c r="C108" s="2"/>
      <c r="D108" s="2"/>
      <c r="E108" s="2"/>
      <c r="F108" s="2"/>
      <c r="G108" s="2"/>
    </row>
    <row r="109" spans="3:7" ht="14.25" customHeight="1" x14ac:dyDescent="0.55000000000000004">
      <c r="C109" s="2"/>
      <c r="D109" s="2"/>
      <c r="E109" s="2"/>
      <c r="F109" s="2"/>
      <c r="G109" s="2"/>
    </row>
    <row r="110" spans="3:7" ht="14.25" customHeight="1" x14ac:dyDescent="0.55000000000000004">
      <c r="C110" s="2"/>
      <c r="D110" s="2"/>
      <c r="E110" s="2"/>
      <c r="F110" s="2"/>
      <c r="G110" s="2"/>
    </row>
    <row r="111" spans="3:7" ht="14.25" customHeight="1" x14ac:dyDescent="0.55000000000000004">
      <c r="C111" s="2"/>
      <c r="D111" s="2"/>
      <c r="E111" s="2"/>
      <c r="F111" s="2"/>
      <c r="G111" s="2"/>
    </row>
    <row r="112" spans="3:7" ht="14.25" customHeight="1" x14ac:dyDescent="0.55000000000000004">
      <c r="C112" s="2"/>
      <c r="D112" s="2"/>
      <c r="E112" s="2"/>
      <c r="F112" s="2"/>
      <c r="G112" s="2"/>
    </row>
    <row r="113" spans="3:7" ht="14.25" customHeight="1" x14ac:dyDescent="0.55000000000000004">
      <c r="C113" s="2"/>
      <c r="D113" s="2"/>
      <c r="E113" s="2"/>
      <c r="F113" s="2"/>
      <c r="G113" s="2"/>
    </row>
    <row r="114" spans="3:7" ht="14.25" customHeight="1" x14ac:dyDescent="0.55000000000000004">
      <c r="C114" s="2"/>
      <c r="D114" s="2"/>
      <c r="E114" s="2"/>
      <c r="F114" s="2"/>
      <c r="G114" s="2"/>
    </row>
    <row r="115" spans="3:7" ht="14.25" customHeight="1" x14ac:dyDescent="0.55000000000000004">
      <c r="C115" s="2"/>
      <c r="D115" s="2"/>
      <c r="E115" s="2"/>
      <c r="F115" s="2"/>
      <c r="G115" s="2"/>
    </row>
    <row r="116" spans="3:7" ht="14.25" customHeight="1" x14ac:dyDescent="0.55000000000000004">
      <c r="C116" s="2"/>
      <c r="D116" s="2"/>
      <c r="E116" s="2"/>
      <c r="F116" s="2"/>
      <c r="G116" s="2"/>
    </row>
    <row r="117" spans="3:7" ht="14.25" customHeight="1" x14ac:dyDescent="0.55000000000000004">
      <c r="C117" s="2"/>
      <c r="D117" s="2"/>
      <c r="E117" s="2"/>
      <c r="F117" s="2"/>
      <c r="G117" s="2"/>
    </row>
    <row r="118" spans="3:7" ht="14.25" customHeight="1" x14ac:dyDescent="0.55000000000000004">
      <c r="C118" s="2"/>
      <c r="D118" s="2"/>
      <c r="E118" s="2"/>
      <c r="F118" s="2"/>
      <c r="G118" s="2"/>
    </row>
    <row r="119" spans="3:7" ht="14.25" customHeight="1" x14ac:dyDescent="0.55000000000000004">
      <c r="C119" s="2"/>
      <c r="D119" s="2"/>
      <c r="E119" s="2"/>
      <c r="F119" s="2"/>
      <c r="G119" s="2"/>
    </row>
    <row r="120" spans="3:7" ht="14.25" customHeight="1" x14ac:dyDescent="0.55000000000000004">
      <c r="C120" s="2"/>
      <c r="D120" s="2"/>
      <c r="E120" s="2"/>
      <c r="F120" s="2"/>
      <c r="G120" s="2"/>
    </row>
    <row r="121" spans="3:7" ht="14.25" customHeight="1" x14ac:dyDescent="0.55000000000000004">
      <c r="C121" s="2"/>
      <c r="D121" s="2"/>
      <c r="E121" s="2"/>
      <c r="F121" s="2"/>
      <c r="G121" s="2"/>
    </row>
    <row r="122" spans="3:7" ht="14.25" customHeight="1" x14ac:dyDescent="0.55000000000000004">
      <c r="C122" s="2"/>
      <c r="D122" s="2"/>
      <c r="E122" s="2"/>
      <c r="F122" s="2"/>
      <c r="G122" s="2"/>
    </row>
    <row r="123" spans="3:7" ht="14.25" customHeight="1" x14ac:dyDescent="0.55000000000000004">
      <c r="C123" s="2"/>
      <c r="D123" s="2"/>
      <c r="E123" s="2"/>
      <c r="F123" s="2"/>
      <c r="G123" s="2"/>
    </row>
    <row r="124" spans="3:7" ht="14.25" customHeight="1" x14ac:dyDescent="0.55000000000000004">
      <c r="C124" s="2"/>
      <c r="D124" s="2"/>
      <c r="E124" s="2"/>
      <c r="F124" s="2"/>
      <c r="G124" s="2"/>
    </row>
    <row r="125" spans="3:7" ht="14.25" customHeight="1" x14ac:dyDescent="0.55000000000000004">
      <c r="C125" s="2"/>
      <c r="D125" s="2"/>
      <c r="E125" s="2"/>
      <c r="F125" s="2"/>
      <c r="G125" s="2"/>
    </row>
    <row r="126" spans="3:7" ht="14.25" customHeight="1" x14ac:dyDescent="0.55000000000000004">
      <c r="C126" s="2"/>
      <c r="D126" s="2"/>
      <c r="E126" s="2"/>
      <c r="F126" s="2"/>
      <c r="G126" s="2"/>
    </row>
    <row r="127" spans="3:7" ht="14.25" customHeight="1" x14ac:dyDescent="0.55000000000000004">
      <c r="C127" s="2"/>
      <c r="D127" s="2"/>
      <c r="E127" s="2"/>
      <c r="F127" s="2"/>
      <c r="G127" s="2"/>
    </row>
    <row r="128" spans="3:7" ht="14.25" customHeight="1" x14ac:dyDescent="0.55000000000000004">
      <c r="C128" s="2"/>
      <c r="D128" s="2"/>
      <c r="E128" s="2"/>
      <c r="F128" s="2"/>
      <c r="G128" s="2"/>
    </row>
    <row r="129" spans="3:7" ht="14.25" customHeight="1" x14ac:dyDescent="0.55000000000000004">
      <c r="C129" s="2"/>
      <c r="D129" s="2"/>
      <c r="E129" s="2"/>
      <c r="F129" s="2"/>
      <c r="G129" s="2"/>
    </row>
    <row r="130" spans="3:7" ht="14.25" customHeight="1" x14ac:dyDescent="0.55000000000000004">
      <c r="C130" s="2"/>
      <c r="D130" s="2"/>
      <c r="E130" s="2"/>
      <c r="F130" s="2"/>
      <c r="G130" s="2"/>
    </row>
    <row r="131" spans="3:7" ht="14.25" customHeight="1" x14ac:dyDescent="0.55000000000000004">
      <c r="C131" s="2"/>
      <c r="D131" s="2"/>
      <c r="E131" s="2"/>
      <c r="F131" s="2"/>
      <c r="G131" s="2"/>
    </row>
    <row r="132" spans="3:7" ht="14.25" customHeight="1" x14ac:dyDescent="0.55000000000000004">
      <c r="C132" s="2"/>
      <c r="D132" s="2"/>
      <c r="E132" s="2"/>
      <c r="F132" s="2"/>
      <c r="G132" s="2"/>
    </row>
    <row r="133" spans="3:7" ht="14.25" customHeight="1" x14ac:dyDescent="0.55000000000000004">
      <c r="C133" s="2"/>
      <c r="D133" s="2"/>
      <c r="E133" s="2"/>
      <c r="F133" s="2"/>
      <c r="G133" s="2"/>
    </row>
    <row r="134" spans="3:7" ht="14.25" customHeight="1" x14ac:dyDescent="0.55000000000000004">
      <c r="C134" s="2"/>
      <c r="D134" s="2"/>
      <c r="E134" s="2"/>
      <c r="F134" s="2"/>
      <c r="G134" s="2"/>
    </row>
    <row r="135" spans="3:7" ht="14.25" customHeight="1" x14ac:dyDescent="0.55000000000000004">
      <c r="C135" s="2"/>
      <c r="D135" s="2"/>
      <c r="E135" s="2"/>
      <c r="F135" s="2"/>
      <c r="G135" s="2"/>
    </row>
    <row r="136" spans="3:7" ht="14.25" customHeight="1" x14ac:dyDescent="0.55000000000000004">
      <c r="C136" s="2"/>
      <c r="D136" s="2"/>
      <c r="E136" s="2"/>
      <c r="F136" s="2"/>
      <c r="G136" s="2"/>
    </row>
    <row r="137" spans="3:7" ht="14.25" customHeight="1" x14ac:dyDescent="0.55000000000000004">
      <c r="C137" s="2"/>
      <c r="D137" s="2"/>
      <c r="E137" s="2"/>
      <c r="F137" s="2"/>
      <c r="G137" s="2"/>
    </row>
    <row r="138" spans="3:7" ht="14.25" customHeight="1" x14ac:dyDescent="0.55000000000000004">
      <c r="C138" s="2"/>
      <c r="D138" s="2"/>
      <c r="E138" s="2"/>
      <c r="F138" s="2"/>
      <c r="G138" s="2"/>
    </row>
    <row r="139" spans="3:7" ht="14.25" customHeight="1" x14ac:dyDescent="0.55000000000000004">
      <c r="C139" s="2"/>
      <c r="D139" s="2"/>
      <c r="E139" s="2"/>
      <c r="F139" s="2"/>
      <c r="G139" s="2"/>
    </row>
    <row r="140" spans="3:7" ht="14.25" customHeight="1" x14ac:dyDescent="0.55000000000000004">
      <c r="C140" s="2"/>
      <c r="D140" s="2"/>
      <c r="E140" s="2"/>
      <c r="F140" s="2"/>
      <c r="G140" s="2"/>
    </row>
    <row r="141" spans="3:7" ht="14.25" customHeight="1" x14ac:dyDescent="0.55000000000000004">
      <c r="C141" s="2"/>
      <c r="D141" s="2"/>
      <c r="E141" s="2"/>
      <c r="F141" s="2"/>
      <c r="G141" s="2"/>
    </row>
    <row r="142" spans="3:7" ht="14.25" customHeight="1" x14ac:dyDescent="0.55000000000000004">
      <c r="C142" s="2"/>
      <c r="D142" s="2"/>
      <c r="E142" s="2"/>
      <c r="F142" s="2"/>
      <c r="G142" s="2"/>
    </row>
    <row r="143" spans="3:7" ht="14.25" customHeight="1" x14ac:dyDescent="0.55000000000000004">
      <c r="C143" s="2"/>
      <c r="D143" s="2"/>
      <c r="E143" s="2"/>
      <c r="F143" s="2"/>
      <c r="G143" s="2"/>
    </row>
    <row r="144" spans="3:7" ht="14.25" customHeight="1" x14ac:dyDescent="0.55000000000000004">
      <c r="C144" s="2"/>
      <c r="D144" s="2"/>
      <c r="E144" s="2"/>
      <c r="F144" s="2"/>
      <c r="G144" s="2"/>
    </row>
    <row r="145" spans="3:7" ht="14.25" customHeight="1" x14ac:dyDescent="0.55000000000000004">
      <c r="C145" s="2"/>
      <c r="D145" s="2"/>
      <c r="E145" s="2"/>
      <c r="F145" s="2"/>
      <c r="G145" s="2"/>
    </row>
    <row r="146" spans="3:7" ht="14.25" customHeight="1" x14ac:dyDescent="0.55000000000000004">
      <c r="C146" s="2"/>
      <c r="D146" s="2"/>
      <c r="E146" s="2"/>
      <c r="F146" s="2"/>
      <c r="G146" s="2"/>
    </row>
    <row r="147" spans="3:7" ht="14.25" customHeight="1" x14ac:dyDescent="0.55000000000000004">
      <c r="C147" s="2"/>
      <c r="D147" s="2"/>
      <c r="E147" s="2"/>
      <c r="F147" s="2"/>
      <c r="G147" s="2"/>
    </row>
    <row r="148" spans="3:7" ht="14.25" customHeight="1" x14ac:dyDescent="0.55000000000000004">
      <c r="C148" s="2"/>
      <c r="D148" s="2"/>
      <c r="E148" s="2"/>
      <c r="F148" s="2"/>
      <c r="G148" s="2"/>
    </row>
    <row r="149" spans="3:7" ht="14.25" customHeight="1" x14ac:dyDescent="0.55000000000000004">
      <c r="C149" s="2"/>
      <c r="D149" s="2"/>
      <c r="E149" s="2"/>
      <c r="F149" s="2"/>
      <c r="G149" s="2"/>
    </row>
    <row r="150" spans="3:7" ht="14.25" customHeight="1" x14ac:dyDescent="0.55000000000000004">
      <c r="C150" s="2"/>
      <c r="D150" s="2"/>
      <c r="E150" s="2"/>
      <c r="F150" s="2"/>
      <c r="G150" s="2"/>
    </row>
    <row r="151" spans="3:7" ht="14.25" customHeight="1" x14ac:dyDescent="0.55000000000000004">
      <c r="C151" s="2"/>
      <c r="D151" s="2"/>
      <c r="E151" s="2"/>
      <c r="F151" s="2"/>
      <c r="G151" s="2"/>
    </row>
    <row r="152" spans="3:7" ht="14.25" customHeight="1" x14ac:dyDescent="0.55000000000000004">
      <c r="C152" s="2"/>
      <c r="D152" s="2"/>
      <c r="E152" s="2"/>
      <c r="F152" s="2"/>
      <c r="G152" s="2"/>
    </row>
    <row r="153" spans="3:7" ht="14.25" customHeight="1" x14ac:dyDescent="0.55000000000000004">
      <c r="C153" s="2"/>
      <c r="D153" s="2"/>
      <c r="E153" s="2"/>
      <c r="F153" s="2"/>
      <c r="G153" s="2"/>
    </row>
    <row r="154" spans="3:7" ht="14.25" customHeight="1" x14ac:dyDescent="0.55000000000000004">
      <c r="C154" s="2"/>
      <c r="D154" s="2"/>
      <c r="E154" s="2"/>
      <c r="F154" s="2"/>
      <c r="G154" s="2"/>
    </row>
    <row r="155" spans="3:7" ht="14.25" customHeight="1" x14ac:dyDescent="0.55000000000000004">
      <c r="C155" s="2"/>
      <c r="D155" s="2"/>
      <c r="E155" s="2"/>
      <c r="F155" s="2"/>
      <c r="G155" s="2"/>
    </row>
    <row r="156" spans="3:7" ht="14.25" customHeight="1" x14ac:dyDescent="0.55000000000000004">
      <c r="C156" s="2"/>
      <c r="D156" s="2"/>
      <c r="E156" s="2"/>
      <c r="F156" s="2"/>
      <c r="G156" s="2"/>
    </row>
    <row r="157" spans="3:7" ht="14.25" customHeight="1" x14ac:dyDescent="0.55000000000000004">
      <c r="C157" s="2"/>
      <c r="D157" s="2"/>
      <c r="E157" s="2"/>
      <c r="F157" s="2"/>
      <c r="G157" s="2"/>
    </row>
    <row r="158" spans="3:7" ht="14.25" customHeight="1" x14ac:dyDescent="0.55000000000000004">
      <c r="C158" s="2"/>
      <c r="D158" s="2"/>
      <c r="E158" s="2"/>
      <c r="F158" s="2"/>
      <c r="G158" s="2"/>
    </row>
    <row r="159" spans="3:7" ht="14.25" customHeight="1" x14ac:dyDescent="0.55000000000000004">
      <c r="C159" s="2"/>
      <c r="D159" s="2"/>
      <c r="E159" s="2"/>
      <c r="F159" s="2"/>
      <c r="G159" s="2"/>
    </row>
    <row r="160" spans="3:7" ht="14.25" customHeight="1" x14ac:dyDescent="0.55000000000000004">
      <c r="C160" s="2"/>
      <c r="D160" s="2"/>
      <c r="E160" s="2"/>
      <c r="F160" s="2"/>
      <c r="G160" s="2"/>
    </row>
    <row r="161" spans="3:7" ht="14.25" customHeight="1" x14ac:dyDescent="0.55000000000000004">
      <c r="C161" s="2"/>
      <c r="D161" s="2"/>
      <c r="E161" s="2"/>
      <c r="F161" s="2"/>
      <c r="G161" s="2"/>
    </row>
    <row r="162" spans="3:7" ht="14.25" customHeight="1" x14ac:dyDescent="0.55000000000000004">
      <c r="C162" s="2"/>
      <c r="D162" s="2"/>
      <c r="E162" s="2"/>
      <c r="F162" s="2"/>
      <c r="G162" s="2"/>
    </row>
    <row r="163" spans="3:7" ht="14.25" customHeight="1" x14ac:dyDescent="0.55000000000000004">
      <c r="C163" s="2"/>
      <c r="D163" s="2"/>
      <c r="E163" s="2"/>
      <c r="F163" s="2"/>
      <c r="G163" s="2"/>
    </row>
    <row r="164" spans="3:7" ht="14.25" customHeight="1" x14ac:dyDescent="0.55000000000000004">
      <c r="C164" s="2"/>
      <c r="D164" s="2"/>
      <c r="E164" s="2"/>
      <c r="F164" s="2"/>
      <c r="G164" s="2"/>
    </row>
    <row r="165" spans="3:7" ht="14.25" customHeight="1" x14ac:dyDescent="0.55000000000000004">
      <c r="C165" s="2"/>
      <c r="D165" s="2"/>
      <c r="E165" s="2"/>
      <c r="F165" s="2"/>
      <c r="G165" s="2"/>
    </row>
    <row r="166" spans="3:7" ht="14.25" customHeight="1" x14ac:dyDescent="0.55000000000000004">
      <c r="C166" s="2"/>
      <c r="D166" s="2"/>
      <c r="E166" s="2"/>
      <c r="F166" s="2"/>
      <c r="G166" s="2"/>
    </row>
    <row r="167" spans="3:7" ht="14.25" customHeight="1" x14ac:dyDescent="0.55000000000000004">
      <c r="C167" s="2"/>
      <c r="D167" s="2"/>
      <c r="E167" s="2"/>
      <c r="F167" s="2"/>
      <c r="G167" s="2"/>
    </row>
    <row r="168" spans="3:7" ht="14.25" customHeight="1" x14ac:dyDescent="0.55000000000000004">
      <c r="C168" s="2"/>
      <c r="D168" s="2"/>
      <c r="E168" s="2"/>
      <c r="F168" s="2"/>
      <c r="G168" s="2"/>
    </row>
    <row r="169" spans="3:7" ht="14.25" customHeight="1" x14ac:dyDescent="0.55000000000000004">
      <c r="C169" s="2"/>
      <c r="D169" s="2"/>
      <c r="E169" s="2"/>
      <c r="F169" s="2"/>
      <c r="G169" s="2"/>
    </row>
    <row r="170" spans="3:7" ht="14.25" customHeight="1" x14ac:dyDescent="0.55000000000000004">
      <c r="C170" s="2"/>
      <c r="D170" s="2"/>
      <c r="E170" s="2"/>
      <c r="F170" s="2"/>
      <c r="G170" s="2"/>
    </row>
    <row r="171" spans="3:7" ht="14.25" customHeight="1" x14ac:dyDescent="0.55000000000000004">
      <c r="C171" s="2"/>
      <c r="D171" s="2"/>
      <c r="E171" s="2"/>
      <c r="F171" s="2"/>
      <c r="G171" s="2"/>
    </row>
    <row r="172" spans="3:7" ht="14.25" customHeight="1" x14ac:dyDescent="0.55000000000000004">
      <c r="C172" s="2"/>
      <c r="D172" s="2"/>
      <c r="E172" s="2"/>
      <c r="F172" s="2"/>
      <c r="G172" s="2"/>
    </row>
    <row r="173" spans="3:7" ht="14.25" customHeight="1" x14ac:dyDescent="0.55000000000000004">
      <c r="C173" s="2"/>
      <c r="D173" s="2"/>
      <c r="E173" s="2"/>
      <c r="F173" s="2"/>
      <c r="G173" s="2"/>
    </row>
    <row r="174" spans="3:7" ht="14.25" customHeight="1" x14ac:dyDescent="0.55000000000000004">
      <c r="C174" s="2"/>
      <c r="D174" s="2"/>
      <c r="E174" s="2"/>
      <c r="F174" s="2"/>
      <c r="G174" s="2"/>
    </row>
    <row r="175" spans="3:7" ht="14.25" customHeight="1" x14ac:dyDescent="0.55000000000000004">
      <c r="C175" s="2"/>
      <c r="D175" s="2"/>
      <c r="E175" s="2"/>
      <c r="F175" s="2"/>
      <c r="G175" s="2"/>
    </row>
    <row r="176" spans="3:7" ht="14.25" customHeight="1" x14ac:dyDescent="0.55000000000000004">
      <c r="C176" s="2"/>
      <c r="D176" s="2"/>
      <c r="E176" s="2"/>
      <c r="F176" s="2"/>
      <c r="G176" s="2"/>
    </row>
    <row r="177" spans="3:7" ht="14.25" customHeight="1" x14ac:dyDescent="0.55000000000000004">
      <c r="C177" s="2"/>
      <c r="D177" s="2"/>
      <c r="E177" s="2"/>
      <c r="F177" s="2"/>
      <c r="G177" s="2"/>
    </row>
    <row r="178" spans="3:7" ht="14.25" customHeight="1" x14ac:dyDescent="0.55000000000000004">
      <c r="C178" s="2"/>
      <c r="D178" s="2"/>
      <c r="E178" s="2"/>
      <c r="F178" s="2"/>
      <c r="G178" s="2"/>
    </row>
    <row r="179" spans="3:7" ht="14.25" customHeight="1" x14ac:dyDescent="0.55000000000000004">
      <c r="C179" s="2"/>
      <c r="D179" s="2"/>
      <c r="E179" s="2"/>
      <c r="F179" s="2"/>
      <c r="G179" s="2"/>
    </row>
    <row r="180" spans="3:7" ht="14.25" customHeight="1" x14ac:dyDescent="0.55000000000000004">
      <c r="C180" s="2"/>
      <c r="D180" s="2"/>
      <c r="E180" s="2"/>
      <c r="F180" s="2"/>
      <c r="G180" s="2"/>
    </row>
    <row r="181" spans="3:7" ht="14.25" customHeight="1" x14ac:dyDescent="0.55000000000000004">
      <c r="C181" s="2"/>
      <c r="D181" s="2"/>
      <c r="E181" s="2"/>
      <c r="F181" s="2"/>
      <c r="G181" s="2"/>
    </row>
    <row r="182" spans="3:7" ht="14.25" customHeight="1" x14ac:dyDescent="0.55000000000000004">
      <c r="C182" s="2"/>
      <c r="D182" s="2"/>
      <c r="E182" s="2"/>
      <c r="F182" s="2"/>
      <c r="G182" s="2"/>
    </row>
    <row r="183" spans="3:7" ht="14.25" customHeight="1" x14ac:dyDescent="0.55000000000000004">
      <c r="C183" s="2"/>
      <c r="D183" s="2"/>
      <c r="E183" s="2"/>
      <c r="F183" s="2"/>
      <c r="G183" s="2"/>
    </row>
    <row r="184" spans="3:7" ht="14.25" customHeight="1" x14ac:dyDescent="0.55000000000000004">
      <c r="C184" s="2"/>
      <c r="D184" s="2"/>
      <c r="E184" s="2"/>
      <c r="F184" s="2"/>
      <c r="G184" s="2"/>
    </row>
    <row r="185" spans="3:7" ht="14.25" customHeight="1" x14ac:dyDescent="0.55000000000000004">
      <c r="C185" s="2"/>
      <c r="D185" s="2"/>
      <c r="E185" s="2"/>
      <c r="F185" s="2"/>
      <c r="G185" s="2"/>
    </row>
    <row r="186" spans="3:7" ht="14.25" customHeight="1" x14ac:dyDescent="0.55000000000000004">
      <c r="C186" s="2"/>
      <c r="D186" s="2"/>
      <c r="E186" s="2"/>
      <c r="F186" s="2"/>
      <c r="G186" s="2"/>
    </row>
    <row r="187" spans="3:7" ht="14.25" customHeight="1" x14ac:dyDescent="0.55000000000000004">
      <c r="C187" s="2"/>
      <c r="D187" s="2"/>
      <c r="E187" s="2"/>
      <c r="F187" s="2"/>
      <c r="G187" s="2"/>
    </row>
    <row r="188" spans="3:7" ht="14.25" customHeight="1" x14ac:dyDescent="0.55000000000000004">
      <c r="C188" s="2"/>
      <c r="D188" s="2"/>
      <c r="E188" s="2"/>
      <c r="F188" s="2"/>
      <c r="G188" s="2"/>
    </row>
    <row r="189" spans="3:7" ht="14.25" customHeight="1" x14ac:dyDescent="0.55000000000000004">
      <c r="C189" s="2"/>
      <c r="D189" s="2"/>
      <c r="E189" s="2"/>
      <c r="F189" s="2"/>
      <c r="G189" s="2"/>
    </row>
    <row r="190" spans="3:7" ht="14.25" customHeight="1" x14ac:dyDescent="0.55000000000000004">
      <c r="C190" s="2"/>
      <c r="D190" s="2"/>
      <c r="E190" s="2"/>
      <c r="F190" s="2"/>
      <c r="G190" s="2"/>
    </row>
    <row r="191" spans="3:7" ht="14.25" customHeight="1" x14ac:dyDescent="0.55000000000000004">
      <c r="C191" s="2"/>
      <c r="D191" s="2"/>
      <c r="E191" s="2"/>
      <c r="F191" s="2"/>
      <c r="G191" s="2"/>
    </row>
    <row r="192" spans="3:7" ht="14.25" customHeight="1" x14ac:dyDescent="0.55000000000000004">
      <c r="C192" s="2"/>
      <c r="D192" s="2"/>
      <c r="E192" s="2"/>
      <c r="F192" s="2"/>
      <c r="G192" s="2"/>
    </row>
    <row r="193" spans="3:7" ht="14.25" customHeight="1" x14ac:dyDescent="0.55000000000000004">
      <c r="C193" s="2"/>
      <c r="D193" s="2"/>
      <c r="E193" s="2"/>
      <c r="F193" s="2"/>
      <c r="G193" s="2"/>
    </row>
    <row r="194" spans="3:7" ht="14.25" customHeight="1" x14ac:dyDescent="0.55000000000000004">
      <c r="C194" s="2"/>
      <c r="D194" s="2"/>
      <c r="E194" s="2"/>
      <c r="F194" s="2"/>
      <c r="G194" s="2"/>
    </row>
    <row r="195" spans="3:7" ht="14.25" customHeight="1" x14ac:dyDescent="0.55000000000000004">
      <c r="C195" s="2"/>
      <c r="D195" s="2"/>
      <c r="E195" s="2"/>
      <c r="F195" s="2"/>
      <c r="G195" s="2"/>
    </row>
    <row r="196" spans="3:7" ht="14.25" customHeight="1" x14ac:dyDescent="0.55000000000000004">
      <c r="C196" s="2"/>
      <c r="D196" s="2"/>
      <c r="E196" s="2"/>
      <c r="F196" s="2"/>
      <c r="G196" s="2"/>
    </row>
    <row r="197" spans="3:7" ht="14.25" customHeight="1" x14ac:dyDescent="0.55000000000000004">
      <c r="C197" s="2"/>
      <c r="D197" s="2"/>
      <c r="E197" s="2"/>
      <c r="F197" s="2"/>
      <c r="G197" s="2"/>
    </row>
    <row r="198" spans="3:7" ht="14.25" customHeight="1" x14ac:dyDescent="0.55000000000000004">
      <c r="C198" s="2"/>
      <c r="D198" s="2"/>
      <c r="E198" s="2"/>
      <c r="F198" s="2"/>
      <c r="G198" s="2"/>
    </row>
    <row r="199" spans="3:7" ht="14.25" customHeight="1" x14ac:dyDescent="0.55000000000000004">
      <c r="C199" s="2"/>
      <c r="D199" s="2"/>
      <c r="E199" s="2"/>
      <c r="F199" s="2"/>
      <c r="G199" s="2"/>
    </row>
    <row r="200" spans="3:7" ht="14.25" customHeight="1" x14ac:dyDescent="0.55000000000000004">
      <c r="C200" s="2"/>
      <c r="D200" s="2"/>
      <c r="E200" s="2"/>
      <c r="F200" s="2"/>
      <c r="G200" s="2"/>
    </row>
    <row r="201" spans="3:7" ht="14.25" customHeight="1" x14ac:dyDescent="0.55000000000000004">
      <c r="C201" s="2"/>
      <c r="D201" s="2"/>
      <c r="E201" s="2"/>
      <c r="F201" s="2"/>
      <c r="G201" s="2"/>
    </row>
    <row r="202" spans="3:7" ht="14.25" customHeight="1" x14ac:dyDescent="0.55000000000000004">
      <c r="C202" s="2"/>
      <c r="D202" s="2"/>
      <c r="E202" s="2"/>
      <c r="F202" s="2"/>
      <c r="G202" s="2"/>
    </row>
    <row r="203" spans="3:7" ht="14.25" customHeight="1" x14ac:dyDescent="0.55000000000000004">
      <c r="C203" s="2"/>
      <c r="D203" s="2"/>
      <c r="E203" s="2"/>
      <c r="F203" s="2"/>
      <c r="G203" s="2"/>
    </row>
    <row r="204" spans="3:7" ht="14.25" customHeight="1" x14ac:dyDescent="0.55000000000000004">
      <c r="C204" s="2"/>
      <c r="D204" s="2"/>
      <c r="E204" s="2"/>
      <c r="F204" s="2"/>
      <c r="G204" s="2"/>
    </row>
    <row r="205" spans="3:7" ht="14.25" customHeight="1" x14ac:dyDescent="0.55000000000000004">
      <c r="C205" s="2"/>
      <c r="D205" s="2"/>
      <c r="E205" s="2"/>
      <c r="F205" s="2"/>
      <c r="G205" s="2"/>
    </row>
    <row r="206" spans="3:7" ht="14.25" customHeight="1" x14ac:dyDescent="0.55000000000000004">
      <c r="C206" s="2"/>
      <c r="D206" s="2"/>
      <c r="E206" s="2"/>
      <c r="F206" s="2"/>
      <c r="G206" s="2"/>
    </row>
    <row r="207" spans="3:7" ht="14.25" customHeight="1" x14ac:dyDescent="0.55000000000000004">
      <c r="C207" s="2"/>
      <c r="D207" s="2"/>
      <c r="E207" s="2"/>
      <c r="F207" s="2"/>
      <c r="G207" s="2"/>
    </row>
    <row r="208" spans="3:7" ht="14.25" customHeight="1" x14ac:dyDescent="0.55000000000000004">
      <c r="C208" s="2"/>
      <c r="D208" s="2"/>
      <c r="E208" s="2"/>
      <c r="F208" s="2"/>
      <c r="G208" s="2"/>
    </row>
    <row r="209" spans="3:7" ht="14.25" customHeight="1" x14ac:dyDescent="0.55000000000000004">
      <c r="C209" s="2"/>
      <c r="D209" s="2"/>
      <c r="E209" s="2"/>
      <c r="F209" s="2"/>
      <c r="G209" s="2"/>
    </row>
    <row r="210" spans="3:7" ht="14.25" customHeight="1" x14ac:dyDescent="0.55000000000000004">
      <c r="C210" s="2"/>
      <c r="D210" s="2"/>
      <c r="E210" s="2"/>
      <c r="F210" s="2"/>
      <c r="G210" s="2"/>
    </row>
    <row r="211" spans="3:7" ht="14.25" customHeight="1" x14ac:dyDescent="0.55000000000000004">
      <c r="C211" s="2"/>
      <c r="D211" s="2"/>
      <c r="E211" s="2"/>
      <c r="F211" s="2"/>
      <c r="G211" s="2"/>
    </row>
    <row r="212" spans="3:7" ht="14.25" customHeight="1" x14ac:dyDescent="0.55000000000000004">
      <c r="C212" s="2"/>
      <c r="D212" s="2"/>
      <c r="E212" s="2"/>
      <c r="F212" s="2"/>
      <c r="G212" s="2"/>
    </row>
    <row r="213" spans="3:7" ht="14.25" customHeight="1" x14ac:dyDescent="0.55000000000000004">
      <c r="C213" s="2"/>
      <c r="D213" s="2"/>
      <c r="E213" s="2"/>
      <c r="F213" s="2"/>
      <c r="G213" s="2"/>
    </row>
    <row r="214" spans="3:7" ht="14.25" customHeight="1" x14ac:dyDescent="0.55000000000000004">
      <c r="C214" s="2"/>
      <c r="D214" s="2"/>
      <c r="E214" s="2"/>
      <c r="F214" s="2"/>
      <c r="G214" s="2"/>
    </row>
    <row r="215" spans="3:7" ht="14.25" customHeight="1" x14ac:dyDescent="0.55000000000000004">
      <c r="C215" s="2"/>
      <c r="D215" s="2"/>
      <c r="E215" s="2"/>
      <c r="F215" s="2"/>
      <c r="G215" s="2"/>
    </row>
    <row r="216" spans="3:7" ht="14.25" customHeight="1" x14ac:dyDescent="0.55000000000000004">
      <c r="C216" s="2"/>
      <c r="D216" s="2"/>
      <c r="E216" s="2"/>
      <c r="F216" s="2"/>
      <c r="G216" s="2"/>
    </row>
    <row r="217" spans="3:7" ht="14.25" customHeight="1" x14ac:dyDescent="0.55000000000000004">
      <c r="C217" s="2"/>
      <c r="D217" s="2"/>
      <c r="E217" s="2"/>
      <c r="F217" s="2"/>
      <c r="G217" s="2"/>
    </row>
    <row r="218" spans="3:7" ht="14.25" customHeight="1" x14ac:dyDescent="0.55000000000000004">
      <c r="C218" s="2"/>
      <c r="D218" s="2"/>
      <c r="E218" s="2"/>
      <c r="F218" s="2"/>
      <c r="G218" s="2"/>
    </row>
    <row r="219" spans="3:7" ht="14.25" customHeight="1" x14ac:dyDescent="0.55000000000000004">
      <c r="C219" s="2"/>
      <c r="D219" s="2"/>
      <c r="E219" s="2"/>
      <c r="F219" s="2"/>
      <c r="G219" s="2"/>
    </row>
    <row r="220" spans="3:7" ht="14.25" customHeight="1" x14ac:dyDescent="0.55000000000000004">
      <c r="C220" s="2"/>
      <c r="D220" s="2"/>
      <c r="E220" s="2"/>
      <c r="F220" s="2"/>
      <c r="G220" s="2"/>
    </row>
    <row r="221" spans="3:7" ht="14.25" customHeight="1" x14ac:dyDescent="0.55000000000000004">
      <c r="C221" s="2"/>
      <c r="D221" s="2"/>
      <c r="E221" s="2"/>
      <c r="F221" s="2"/>
      <c r="G221" s="2"/>
    </row>
    <row r="222" spans="3:7" ht="14.25" customHeight="1" x14ac:dyDescent="0.55000000000000004">
      <c r="C222" s="2"/>
      <c r="D222" s="2"/>
      <c r="E222" s="2"/>
      <c r="F222" s="2"/>
      <c r="G222" s="2"/>
    </row>
    <row r="223" spans="3:7" ht="14.25" customHeight="1" x14ac:dyDescent="0.55000000000000004">
      <c r="C223" s="2"/>
      <c r="D223" s="2"/>
      <c r="E223" s="2"/>
      <c r="F223" s="2"/>
      <c r="G223" s="2"/>
    </row>
    <row r="224" spans="3:7" ht="14.25" customHeight="1" x14ac:dyDescent="0.55000000000000004">
      <c r="C224" s="2"/>
      <c r="D224" s="2"/>
      <c r="E224" s="2"/>
      <c r="F224" s="2"/>
      <c r="G224" s="2"/>
    </row>
    <row r="225" spans="3:7" ht="14.25" customHeight="1" x14ac:dyDescent="0.55000000000000004">
      <c r="C225" s="2"/>
      <c r="D225" s="2"/>
      <c r="E225" s="2"/>
      <c r="F225" s="2"/>
      <c r="G225" s="2"/>
    </row>
    <row r="226" spans="3:7" ht="14.25" customHeight="1" x14ac:dyDescent="0.55000000000000004">
      <c r="C226" s="2"/>
      <c r="D226" s="2"/>
      <c r="E226" s="2"/>
      <c r="F226" s="2"/>
      <c r="G226" s="2"/>
    </row>
    <row r="227" spans="3:7" ht="14.25" customHeight="1" x14ac:dyDescent="0.55000000000000004">
      <c r="C227" s="2"/>
      <c r="D227" s="2"/>
      <c r="E227" s="2"/>
      <c r="F227" s="2"/>
      <c r="G227" s="2"/>
    </row>
    <row r="228" spans="3:7" ht="14.25" customHeight="1" x14ac:dyDescent="0.55000000000000004">
      <c r="C228" s="2"/>
      <c r="D228" s="2"/>
      <c r="E228" s="2"/>
      <c r="F228" s="2"/>
      <c r="G228" s="2"/>
    </row>
    <row r="229" spans="3:7" ht="14.25" customHeight="1" x14ac:dyDescent="0.55000000000000004">
      <c r="C229" s="2"/>
      <c r="D229" s="2"/>
      <c r="E229" s="2"/>
      <c r="F229" s="2"/>
      <c r="G229" s="2"/>
    </row>
    <row r="230" spans="3:7" ht="14.25" customHeight="1" x14ac:dyDescent="0.55000000000000004">
      <c r="C230" s="2"/>
      <c r="D230" s="2"/>
      <c r="E230" s="2"/>
      <c r="F230" s="2"/>
      <c r="G230" s="2"/>
    </row>
    <row r="231" spans="3:7" ht="14.25" customHeight="1" x14ac:dyDescent="0.55000000000000004">
      <c r="C231" s="2"/>
      <c r="D231" s="2"/>
      <c r="E231" s="2"/>
      <c r="F231" s="2"/>
      <c r="G231" s="2"/>
    </row>
    <row r="232" spans="3:7" ht="14.25" customHeight="1" x14ac:dyDescent="0.55000000000000004">
      <c r="C232" s="2"/>
      <c r="D232" s="2"/>
      <c r="E232" s="2"/>
      <c r="F232" s="2"/>
      <c r="G232" s="2"/>
    </row>
    <row r="233" spans="3:7" ht="14.25" customHeight="1" x14ac:dyDescent="0.55000000000000004">
      <c r="C233" s="2"/>
      <c r="D233" s="2"/>
      <c r="E233" s="2"/>
      <c r="F233" s="2"/>
      <c r="G233" s="2"/>
    </row>
    <row r="234" spans="3:7" ht="14.25" customHeight="1" x14ac:dyDescent="0.55000000000000004">
      <c r="C234" s="2"/>
      <c r="D234" s="2"/>
      <c r="E234" s="2"/>
      <c r="F234" s="2"/>
      <c r="G234" s="2"/>
    </row>
    <row r="235" spans="3:7" ht="14.25" customHeight="1" x14ac:dyDescent="0.55000000000000004">
      <c r="C235" s="2"/>
      <c r="D235" s="2"/>
      <c r="E235" s="2"/>
      <c r="F235" s="2"/>
      <c r="G235" s="2"/>
    </row>
    <row r="236" spans="3:7" ht="14.25" customHeight="1" x14ac:dyDescent="0.55000000000000004">
      <c r="C236" s="2"/>
      <c r="D236" s="2"/>
      <c r="E236" s="2"/>
      <c r="F236" s="2"/>
      <c r="G236" s="2"/>
    </row>
    <row r="237" spans="3:7" ht="14.25" customHeight="1" x14ac:dyDescent="0.55000000000000004">
      <c r="C237" s="2"/>
      <c r="D237" s="2"/>
      <c r="E237" s="2"/>
      <c r="F237" s="2"/>
      <c r="G237" s="2"/>
    </row>
    <row r="238" spans="3:7" ht="14.25" customHeight="1" x14ac:dyDescent="0.55000000000000004">
      <c r="C238" s="2"/>
      <c r="D238" s="2"/>
      <c r="E238" s="2"/>
      <c r="F238" s="2"/>
      <c r="G238" s="2"/>
    </row>
    <row r="239" spans="3:7" ht="14.25" customHeight="1" x14ac:dyDescent="0.55000000000000004">
      <c r="C239" s="2"/>
      <c r="D239" s="2"/>
      <c r="E239" s="2"/>
      <c r="F239" s="2"/>
      <c r="G239" s="2"/>
    </row>
    <row r="240" spans="3:7" ht="14.25" customHeight="1" x14ac:dyDescent="0.55000000000000004">
      <c r="C240" s="2"/>
      <c r="D240" s="2"/>
      <c r="E240" s="2"/>
      <c r="F240" s="2"/>
      <c r="G240" s="2"/>
    </row>
    <row r="241" spans="3:7" ht="14.25" customHeight="1" x14ac:dyDescent="0.55000000000000004">
      <c r="C241" s="2"/>
      <c r="D241" s="2"/>
      <c r="E241" s="2"/>
      <c r="F241" s="2"/>
      <c r="G241" s="2"/>
    </row>
    <row r="242" spans="3:7" ht="14.25" customHeight="1" x14ac:dyDescent="0.55000000000000004">
      <c r="C242" s="2"/>
      <c r="D242" s="2"/>
      <c r="E242" s="2"/>
      <c r="F242" s="2"/>
      <c r="G242" s="2"/>
    </row>
    <row r="243" spans="3:7" ht="14.25" customHeight="1" x14ac:dyDescent="0.55000000000000004">
      <c r="C243" s="2"/>
      <c r="D243" s="2"/>
      <c r="E243" s="2"/>
      <c r="F243" s="2"/>
      <c r="G243" s="2"/>
    </row>
    <row r="244" spans="3:7" ht="14.25" customHeight="1" x14ac:dyDescent="0.55000000000000004">
      <c r="C244" s="2"/>
      <c r="D244" s="2"/>
      <c r="E244" s="2"/>
      <c r="F244" s="2"/>
      <c r="G244" s="2"/>
    </row>
    <row r="245" spans="3:7" ht="14.25" customHeight="1" x14ac:dyDescent="0.55000000000000004">
      <c r="C245" s="2"/>
      <c r="D245" s="2"/>
      <c r="E245" s="2"/>
      <c r="F245" s="2"/>
      <c r="G245" s="2"/>
    </row>
    <row r="246" spans="3:7" ht="14.25" customHeight="1" x14ac:dyDescent="0.55000000000000004">
      <c r="C246" s="2"/>
      <c r="D246" s="2"/>
      <c r="E246" s="2"/>
      <c r="F246" s="2"/>
      <c r="G246" s="2"/>
    </row>
    <row r="247" spans="3:7" ht="14.25" customHeight="1" x14ac:dyDescent="0.55000000000000004">
      <c r="C247" s="2"/>
      <c r="D247" s="2"/>
      <c r="E247" s="2"/>
      <c r="F247" s="2"/>
      <c r="G247" s="2"/>
    </row>
    <row r="248" spans="3:7" ht="14.25" customHeight="1" x14ac:dyDescent="0.55000000000000004">
      <c r="C248" s="2"/>
      <c r="D248" s="2"/>
      <c r="E248" s="2"/>
      <c r="F248" s="2"/>
      <c r="G248" s="2"/>
    </row>
    <row r="249" spans="3:7" ht="14.25" customHeight="1" x14ac:dyDescent="0.55000000000000004">
      <c r="C249" s="2"/>
      <c r="D249" s="2"/>
      <c r="E249" s="2"/>
      <c r="F249" s="2"/>
      <c r="G249" s="2"/>
    </row>
    <row r="250" spans="3:7" ht="14.25" customHeight="1" x14ac:dyDescent="0.55000000000000004">
      <c r="C250" s="2"/>
      <c r="D250" s="2"/>
      <c r="E250" s="2"/>
      <c r="F250" s="2"/>
      <c r="G250" s="2"/>
    </row>
    <row r="251" spans="3:7" ht="14.25" customHeight="1" x14ac:dyDescent="0.55000000000000004">
      <c r="C251" s="2"/>
      <c r="D251" s="2"/>
      <c r="E251" s="2"/>
      <c r="F251" s="2"/>
      <c r="G251" s="2"/>
    </row>
    <row r="252" spans="3:7" ht="14.25" customHeight="1" x14ac:dyDescent="0.55000000000000004">
      <c r="C252" s="2"/>
      <c r="D252" s="2"/>
      <c r="E252" s="2"/>
      <c r="F252" s="2"/>
      <c r="G252" s="2"/>
    </row>
    <row r="253" spans="3:7" ht="14.25" customHeight="1" x14ac:dyDescent="0.55000000000000004">
      <c r="C253" s="2"/>
      <c r="D253" s="2"/>
      <c r="E253" s="2"/>
      <c r="F253" s="2"/>
      <c r="G253" s="2"/>
    </row>
    <row r="254" spans="3:7" ht="14.25" customHeight="1" x14ac:dyDescent="0.55000000000000004">
      <c r="C254" s="2"/>
      <c r="D254" s="2"/>
      <c r="E254" s="2"/>
      <c r="F254" s="2"/>
      <c r="G254" s="2"/>
    </row>
    <row r="255" spans="3:7" ht="14.25" customHeight="1" x14ac:dyDescent="0.55000000000000004">
      <c r="C255" s="2"/>
      <c r="D255" s="2"/>
      <c r="E255" s="2"/>
      <c r="F255" s="2"/>
      <c r="G255" s="2"/>
    </row>
    <row r="256" spans="3:7" ht="14.25" customHeight="1" x14ac:dyDescent="0.55000000000000004">
      <c r="C256" s="2"/>
      <c r="D256" s="2"/>
      <c r="E256" s="2"/>
      <c r="F256" s="2"/>
      <c r="G256" s="2"/>
    </row>
    <row r="257" spans="3:7" ht="14.25" customHeight="1" x14ac:dyDescent="0.55000000000000004">
      <c r="C257" s="2"/>
      <c r="D257" s="2"/>
      <c r="E257" s="2"/>
      <c r="F257" s="2"/>
      <c r="G257" s="2"/>
    </row>
    <row r="258" spans="3:7" ht="14.25" customHeight="1" x14ac:dyDescent="0.55000000000000004">
      <c r="C258" s="2"/>
      <c r="D258" s="2"/>
      <c r="E258" s="2"/>
      <c r="F258" s="2"/>
      <c r="G258" s="2"/>
    </row>
    <row r="259" spans="3:7" ht="14.25" customHeight="1" x14ac:dyDescent="0.55000000000000004">
      <c r="C259" s="2"/>
      <c r="D259" s="2"/>
      <c r="E259" s="2"/>
      <c r="F259" s="2"/>
      <c r="G259" s="2"/>
    </row>
    <row r="260" spans="3:7" ht="14.25" customHeight="1" x14ac:dyDescent="0.55000000000000004">
      <c r="C260" s="2"/>
      <c r="D260" s="2"/>
      <c r="E260" s="2"/>
      <c r="F260" s="2"/>
      <c r="G260" s="2"/>
    </row>
    <row r="261" spans="3:7" ht="14.25" customHeight="1" x14ac:dyDescent="0.55000000000000004">
      <c r="C261" s="2"/>
      <c r="D261" s="2"/>
      <c r="E261" s="2"/>
      <c r="F261" s="2"/>
      <c r="G261" s="2"/>
    </row>
    <row r="262" spans="3:7" ht="14.25" customHeight="1" x14ac:dyDescent="0.55000000000000004">
      <c r="C262" s="2"/>
      <c r="D262" s="2"/>
      <c r="E262" s="2"/>
      <c r="F262" s="2"/>
      <c r="G262" s="2"/>
    </row>
    <row r="263" spans="3:7" ht="14.25" customHeight="1" x14ac:dyDescent="0.55000000000000004">
      <c r="C263" s="2"/>
      <c r="D263" s="2"/>
      <c r="E263" s="2"/>
      <c r="F263" s="2"/>
      <c r="G263" s="2"/>
    </row>
    <row r="264" spans="3:7" ht="14.25" customHeight="1" x14ac:dyDescent="0.55000000000000004">
      <c r="C264" s="2"/>
      <c r="D264" s="2"/>
      <c r="E264" s="2"/>
      <c r="F264" s="2"/>
      <c r="G264" s="2"/>
    </row>
    <row r="265" spans="3:7" ht="14.25" customHeight="1" x14ac:dyDescent="0.55000000000000004">
      <c r="C265" s="2"/>
      <c r="D265" s="2"/>
      <c r="E265" s="2"/>
      <c r="F265" s="2"/>
      <c r="G265" s="2"/>
    </row>
    <row r="266" spans="3:7" ht="14.25" customHeight="1" x14ac:dyDescent="0.55000000000000004">
      <c r="C266" s="2"/>
      <c r="D266" s="2"/>
      <c r="E266" s="2"/>
      <c r="F266" s="2"/>
      <c r="G266" s="2"/>
    </row>
    <row r="267" spans="3:7" ht="14.25" customHeight="1" x14ac:dyDescent="0.55000000000000004">
      <c r="C267" s="2"/>
      <c r="D267" s="2"/>
      <c r="E267" s="2"/>
      <c r="F267" s="2"/>
      <c r="G267" s="2"/>
    </row>
    <row r="268" spans="3:7" ht="14.25" customHeight="1" x14ac:dyDescent="0.55000000000000004">
      <c r="C268" s="2"/>
      <c r="D268" s="2"/>
      <c r="E268" s="2"/>
      <c r="F268" s="2"/>
      <c r="G268" s="2"/>
    </row>
    <row r="269" spans="3:7" ht="14.25" customHeight="1" x14ac:dyDescent="0.55000000000000004">
      <c r="C269" s="2"/>
      <c r="D269" s="2"/>
      <c r="E269" s="2"/>
      <c r="F269" s="2"/>
      <c r="G269" s="2"/>
    </row>
    <row r="270" spans="3:7" ht="14.25" customHeight="1" x14ac:dyDescent="0.55000000000000004">
      <c r="C270" s="2"/>
      <c r="D270" s="2"/>
      <c r="E270" s="2"/>
      <c r="F270" s="2"/>
      <c r="G270" s="2"/>
    </row>
    <row r="271" spans="3:7" ht="14.25" customHeight="1" x14ac:dyDescent="0.55000000000000004">
      <c r="C271" s="2"/>
      <c r="D271" s="2"/>
      <c r="E271" s="2"/>
      <c r="F271" s="2"/>
      <c r="G271" s="2"/>
    </row>
    <row r="272" spans="3:7" ht="14.25" customHeight="1" x14ac:dyDescent="0.55000000000000004">
      <c r="C272" s="2"/>
      <c r="D272" s="2"/>
      <c r="E272" s="2"/>
      <c r="F272" s="2"/>
      <c r="G272" s="2"/>
    </row>
    <row r="273" spans="3:7" ht="14.25" customHeight="1" x14ac:dyDescent="0.55000000000000004">
      <c r="C273" s="2"/>
      <c r="D273" s="2"/>
      <c r="E273" s="2"/>
      <c r="F273" s="2"/>
      <c r="G273" s="2"/>
    </row>
    <row r="274" spans="3:7" ht="14.25" customHeight="1" x14ac:dyDescent="0.55000000000000004">
      <c r="C274" s="2"/>
      <c r="D274" s="2"/>
      <c r="E274" s="2"/>
      <c r="F274" s="2"/>
      <c r="G274" s="2"/>
    </row>
    <row r="275" spans="3:7" ht="14.25" customHeight="1" x14ac:dyDescent="0.55000000000000004">
      <c r="C275" s="2"/>
      <c r="D275" s="2"/>
      <c r="E275" s="2"/>
      <c r="F275" s="2"/>
      <c r="G275" s="2"/>
    </row>
    <row r="276" spans="3:7" ht="14.25" customHeight="1" x14ac:dyDescent="0.55000000000000004">
      <c r="C276" s="2"/>
      <c r="D276" s="2"/>
      <c r="E276" s="2"/>
      <c r="F276" s="2"/>
      <c r="G276" s="2"/>
    </row>
    <row r="277" spans="3:7" ht="14.25" customHeight="1" x14ac:dyDescent="0.55000000000000004">
      <c r="C277" s="2"/>
      <c r="D277" s="2"/>
      <c r="E277" s="2"/>
      <c r="F277" s="2"/>
      <c r="G277" s="2"/>
    </row>
    <row r="278" spans="3:7" ht="14.25" customHeight="1" x14ac:dyDescent="0.55000000000000004">
      <c r="C278" s="2"/>
      <c r="D278" s="2"/>
      <c r="E278" s="2"/>
      <c r="F278" s="2"/>
      <c r="G278" s="2"/>
    </row>
    <row r="279" spans="3:7" ht="14.25" customHeight="1" x14ac:dyDescent="0.55000000000000004">
      <c r="C279" s="2"/>
      <c r="D279" s="2"/>
      <c r="E279" s="2"/>
      <c r="F279" s="2"/>
      <c r="G279" s="2"/>
    </row>
    <row r="280" spans="3:7" ht="14.25" customHeight="1" x14ac:dyDescent="0.55000000000000004">
      <c r="C280" s="2"/>
      <c r="D280" s="2"/>
      <c r="E280" s="2"/>
      <c r="F280" s="2"/>
      <c r="G280" s="2"/>
    </row>
    <row r="281" spans="3:7" ht="14.25" customHeight="1" x14ac:dyDescent="0.55000000000000004">
      <c r="C281" s="2"/>
      <c r="D281" s="2"/>
      <c r="E281" s="2"/>
      <c r="F281" s="2"/>
      <c r="G281" s="2"/>
    </row>
    <row r="282" spans="3:7" ht="14.25" customHeight="1" x14ac:dyDescent="0.55000000000000004">
      <c r="C282" s="2"/>
      <c r="D282" s="2"/>
      <c r="E282" s="2"/>
      <c r="F282" s="2"/>
      <c r="G282" s="2"/>
    </row>
    <row r="283" spans="3:7" ht="14.25" customHeight="1" x14ac:dyDescent="0.55000000000000004">
      <c r="C283" s="2"/>
      <c r="D283" s="2"/>
      <c r="E283" s="2"/>
      <c r="F283" s="2"/>
      <c r="G283" s="2"/>
    </row>
    <row r="284" spans="3:7" ht="14.25" customHeight="1" x14ac:dyDescent="0.55000000000000004">
      <c r="C284" s="2"/>
      <c r="D284" s="2"/>
      <c r="E284" s="2"/>
      <c r="F284" s="2"/>
      <c r="G284" s="2"/>
    </row>
    <row r="285" spans="3:7" ht="14.25" customHeight="1" x14ac:dyDescent="0.55000000000000004">
      <c r="C285" s="2"/>
      <c r="D285" s="2"/>
      <c r="E285" s="2"/>
      <c r="F285" s="2"/>
      <c r="G285" s="2"/>
    </row>
    <row r="286" spans="3:7" ht="14.25" customHeight="1" x14ac:dyDescent="0.55000000000000004">
      <c r="C286" s="2"/>
      <c r="D286" s="2"/>
      <c r="E286" s="2"/>
      <c r="F286" s="2"/>
      <c r="G286" s="2"/>
    </row>
    <row r="287" spans="3:7" ht="14.25" customHeight="1" x14ac:dyDescent="0.55000000000000004">
      <c r="C287" s="2"/>
      <c r="D287" s="2"/>
      <c r="E287" s="2"/>
      <c r="F287" s="2"/>
      <c r="G287" s="2"/>
    </row>
    <row r="288" spans="3:7" ht="14.25" customHeight="1" x14ac:dyDescent="0.55000000000000004">
      <c r="C288" s="2"/>
      <c r="D288" s="2"/>
      <c r="E288" s="2"/>
      <c r="F288" s="2"/>
      <c r="G288" s="2"/>
    </row>
    <row r="289" spans="3:7" ht="14.25" customHeight="1" x14ac:dyDescent="0.55000000000000004">
      <c r="C289" s="2"/>
      <c r="D289" s="2"/>
      <c r="E289" s="2"/>
      <c r="F289" s="2"/>
      <c r="G289" s="2"/>
    </row>
    <row r="290" spans="3:7" ht="14.25" customHeight="1" x14ac:dyDescent="0.55000000000000004">
      <c r="C290" s="2"/>
      <c r="D290" s="2"/>
      <c r="E290" s="2"/>
      <c r="F290" s="2"/>
      <c r="G290" s="2"/>
    </row>
    <row r="291" spans="3:7" ht="14.25" customHeight="1" x14ac:dyDescent="0.55000000000000004">
      <c r="C291" s="2"/>
      <c r="D291" s="2"/>
      <c r="E291" s="2"/>
      <c r="F291" s="2"/>
      <c r="G291" s="2"/>
    </row>
    <row r="292" spans="3:7" ht="14.25" customHeight="1" x14ac:dyDescent="0.55000000000000004">
      <c r="C292" s="2"/>
      <c r="D292" s="2"/>
      <c r="E292" s="2"/>
      <c r="F292" s="2"/>
      <c r="G292" s="2"/>
    </row>
    <row r="293" spans="3:7" ht="14.25" customHeight="1" x14ac:dyDescent="0.55000000000000004">
      <c r="C293" s="2"/>
      <c r="D293" s="2"/>
      <c r="E293" s="2"/>
      <c r="F293" s="2"/>
      <c r="G293" s="2"/>
    </row>
    <row r="294" spans="3:7" ht="14.25" customHeight="1" x14ac:dyDescent="0.55000000000000004">
      <c r="C294" s="2"/>
      <c r="D294" s="2"/>
      <c r="E294" s="2"/>
      <c r="F294" s="2"/>
      <c r="G294" s="2"/>
    </row>
    <row r="295" spans="3:7" ht="14.25" customHeight="1" x14ac:dyDescent="0.55000000000000004">
      <c r="C295" s="2"/>
      <c r="D295" s="2"/>
      <c r="E295" s="2"/>
      <c r="F295" s="2"/>
      <c r="G295" s="2"/>
    </row>
    <row r="296" spans="3:7" ht="14.25" customHeight="1" x14ac:dyDescent="0.55000000000000004">
      <c r="C296" s="2"/>
      <c r="D296" s="2"/>
      <c r="E296" s="2"/>
      <c r="F296" s="2"/>
      <c r="G296" s="2"/>
    </row>
    <row r="297" spans="3:7" ht="14.25" customHeight="1" x14ac:dyDescent="0.55000000000000004">
      <c r="C297" s="2"/>
      <c r="D297" s="2"/>
      <c r="E297" s="2"/>
      <c r="F297" s="2"/>
      <c r="G297" s="2"/>
    </row>
    <row r="298" spans="3:7" ht="14.25" customHeight="1" x14ac:dyDescent="0.55000000000000004">
      <c r="C298" s="2"/>
      <c r="D298" s="2"/>
      <c r="E298" s="2"/>
      <c r="F298" s="2"/>
      <c r="G298" s="2"/>
    </row>
    <row r="299" spans="3:7" ht="14.25" customHeight="1" x14ac:dyDescent="0.55000000000000004">
      <c r="C299" s="2"/>
      <c r="D299" s="2"/>
      <c r="E299" s="2"/>
      <c r="F299" s="2"/>
      <c r="G299" s="2"/>
    </row>
    <row r="300" spans="3:7" ht="14.25" customHeight="1" x14ac:dyDescent="0.55000000000000004">
      <c r="C300" s="2"/>
      <c r="D300" s="2"/>
      <c r="E300" s="2"/>
      <c r="F300" s="2"/>
      <c r="G300" s="2"/>
    </row>
    <row r="301" spans="3:7" ht="14.25" customHeight="1" x14ac:dyDescent="0.55000000000000004">
      <c r="C301" s="2"/>
      <c r="D301" s="2"/>
      <c r="E301" s="2"/>
      <c r="F301" s="2"/>
      <c r="G301" s="2"/>
    </row>
    <row r="302" spans="3:7" ht="14.25" customHeight="1" x14ac:dyDescent="0.55000000000000004">
      <c r="C302" s="2"/>
      <c r="D302" s="2"/>
      <c r="E302" s="2"/>
      <c r="F302" s="2"/>
      <c r="G302" s="2"/>
    </row>
    <row r="303" spans="3:7" ht="14.25" customHeight="1" x14ac:dyDescent="0.55000000000000004">
      <c r="C303" s="2"/>
      <c r="D303" s="2"/>
      <c r="E303" s="2"/>
      <c r="F303" s="2"/>
      <c r="G303" s="2"/>
    </row>
    <row r="304" spans="3:7" ht="14.25" customHeight="1" x14ac:dyDescent="0.55000000000000004">
      <c r="C304" s="2"/>
      <c r="D304" s="2"/>
      <c r="E304" s="2"/>
      <c r="F304" s="2"/>
      <c r="G304" s="2"/>
    </row>
    <row r="305" spans="3:7" ht="14.25" customHeight="1" x14ac:dyDescent="0.55000000000000004">
      <c r="C305" s="2"/>
      <c r="D305" s="2"/>
      <c r="E305" s="2"/>
      <c r="F305" s="2"/>
      <c r="G305" s="2"/>
    </row>
    <row r="306" spans="3:7" ht="14.25" customHeight="1" x14ac:dyDescent="0.55000000000000004">
      <c r="C306" s="2"/>
      <c r="D306" s="2"/>
      <c r="E306" s="2"/>
      <c r="F306" s="2"/>
      <c r="G306" s="2"/>
    </row>
    <row r="307" spans="3:7" ht="14.25" customHeight="1" x14ac:dyDescent="0.55000000000000004">
      <c r="C307" s="2"/>
      <c r="D307" s="2"/>
      <c r="E307" s="2"/>
      <c r="F307" s="2"/>
      <c r="G307" s="2"/>
    </row>
    <row r="308" spans="3:7" ht="14.25" customHeight="1" x14ac:dyDescent="0.55000000000000004">
      <c r="C308" s="2"/>
      <c r="D308" s="2"/>
      <c r="E308" s="2"/>
      <c r="F308" s="2"/>
      <c r="G308" s="2"/>
    </row>
    <row r="309" spans="3:7" ht="14.25" customHeight="1" x14ac:dyDescent="0.55000000000000004">
      <c r="C309" s="2"/>
      <c r="D309" s="2"/>
      <c r="E309" s="2"/>
      <c r="F309" s="2"/>
      <c r="G309" s="2"/>
    </row>
    <row r="310" spans="3:7" ht="14.25" customHeight="1" x14ac:dyDescent="0.55000000000000004">
      <c r="C310" s="2"/>
      <c r="D310" s="2"/>
      <c r="E310" s="2"/>
      <c r="F310" s="2"/>
      <c r="G310" s="2"/>
    </row>
    <row r="311" spans="3:7" ht="14.25" customHeight="1" x14ac:dyDescent="0.55000000000000004">
      <c r="C311" s="2"/>
      <c r="D311" s="2"/>
      <c r="E311" s="2"/>
      <c r="F311" s="2"/>
      <c r="G311" s="2"/>
    </row>
    <row r="312" spans="3:7" ht="14.25" customHeight="1" x14ac:dyDescent="0.55000000000000004">
      <c r="C312" s="2"/>
      <c r="D312" s="2"/>
      <c r="E312" s="2"/>
      <c r="F312" s="2"/>
      <c r="G312" s="2"/>
    </row>
    <row r="313" spans="3:7" ht="14.25" customHeight="1" x14ac:dyDescent="0.55000000000000004">
      <c r="C313" s="2"/>
      <c r="D313" s="2"/>
      <c r="E313" s="2"/>
      <c r="F313" s="2"/>
      <c r="G313" s="2"/>
    </row>
    <row r="314" spans="3:7" ht="14.25" customHeight="1" x14ac:dyDescent="0.55000000000000004">
      <c r="C314" s="2"/>
      <c r="D314" s="2"/>
      <c r="E314" s="2"/>
      <c r="F314" s="2"/>
      <c r="G314" s="2"/>
    </row>
    <row r="315" spans="3:7" ht="14.25" customHeight="1" x14ac:dyDescent="0.55000000000000004">
      <c r="C315" s="2"/>
      <c r="D315" s="2"/>
      <c r="E315" s="2"/>
      <c r="F315" s="2"/>
      <c r="G315" s="2"/>
    </row>
    <row r="316" spans="3:7" ht="14.25" customHeight="1" x14ac:dyDescent="0.55000000000000004">
      <c r="C316" s="2"/>
      <c r="D316" s="2"/>
      <c r="E316" s="2"/>
      <c r="F316" s="2"/>
      <c r="G316" s="2"/>
    </row>
    <row r="317" spans="3:7" ht="14.25" customHeight="1" x14ac:dyDescent="0.55000000000000004">
      <c r="C317" s="2"/>
      <c r="D317" s="2"/>
      <c r="E317" s="2"/>
      <c r="F317" s="2"/>
      <c r="G317" s="2"/>
    </row>
    <row r="318" spans="3:7" ht="14.25" customHeight="1" x14ac:dyDescent="0.55000000000000004">
      <c r="C318" s="2"/>
      <c r="D318" s="2"/>
      <c r="E318" s="2"/>
      <c r="F318" s="2"/>
      <c r="G318" s="2"/>
    </row>
    <row r="319" spans="3:7" ht="14.25" customHeight="1" x14ac:dyDescent="0.55000000000000004">
      <c r="C319" s="2"/>
      <c r="D319" s="2"/>
      <c r="E319" s="2"/>
      <c r="F319" s="2"/>
      <c r="G319" s="2"/>
    </row>
    <row r="320" spans="3:7" ht="14.25" customHeight="1" x14ac:dyDescent="0.55000000000000004">
      <c r="C320" s="2"/>
      <c r="D320" s="2"/>
      <c r="E320" s="2"/>
      <c r="F320" s="2"/>
      <c r="G320" s="2"/>
    </row>
    <row r="321" spans="3:7" ht="14.25" customHeight="1" x14ac:dyDescent="0.55000000000000004">
      <c r="C321" s="2"/>
      <c r="D321" s="2"/>
      <c r="E321" s="2"/>
      <c r="F321" s="2"/>
      <c r="G321" s="2"/>
    </row>
    <row r="322" spans="3:7" ht="14.25" customHeight="1" x14ac:dyDescent="0.55000000000000004">
      <c r="C322" s="2"/>
      <c r="D322" s="2"/>
      <c r="E322" s="2"/>
      <c r="F322" s="2"/>
      <c r="G322" s="2"/>
    </row>
    <row r="323" spans="3:7" ht="14.25" customHeight="1" x14ac:dyDescent="0.55000000000000004">
      <c r="C323" s="2"/>
      <c r="D323" s="2"/>
      <c r="E323" s="2"/>
      <c r="F323" s="2"/>
      <c r="G323" s="2"/>
    </row>
    <row r="324" spans="3:7" ht="14.25" customHeight="1" x14ac:dyDescent="0.55000000000000004">
      <c r="C324" s="2"/>
      <c r="D324" s="2"/>
      <c r="E324" s="2"/>
      <c r="F324" s="2"/>
      <c r="G324" s="2"/>
    </row>
    <row r="325" spans="3:7" ht="14.25" customHeight="1" x14ac:dyDescent="0.55000000000000004">
      <c r="C325" s="2"/>
      <c r="D325" s="2"/>
      <c r="E325" s="2"/>
      <c r="F325" s="2"/>
      <c r="G325" s="2"/>
    </row>
    <row r="326" spans="3:7" ht="14.25" customHeight="1" x14ac:dyDescent="0.55000000000000004">
      <c r="C326" s="2"/>
      <c r="D326" s="2"/>
      <c r="E326" s="2"/>
      <c r="F326" s="2"/>
      <c r="G326" s="2"/>
    </row>
    <row r="327" spans="3:7" ht="14.25" customHeight="1" x14ac:dyDescent="0.55000000000000004">
      <c r="C327" s="2"/>
      <c r="D327" s="2"/>
      <c r="E327" s="2"/>
      <c r="F327" s="2"/>
      <c r="G327" s="2"/>
    </row>
    <row r="328" spans="3:7" ht="14.25" customHeight="1" x14ac:dyDescent="0.55000000000000004">
      <c r="C328" s="2"/>
      <c r="D328" s="2"/>
      <c r="E328" s="2"/>
      <c r="F328" s="2"/>
      <c r="G328" s="2"/>
    </row>
    <row r="329" spans="3:7" ht="14.25" customHeight="1" x14ac:dyDescent="0.55000000000000004">
      <c r="C329" s="2"/>
      <c r="D329" s="2"/>
      <c r="E329" s="2"/>
      <c r="F329" s="2"/>
      <c r="G329" s="2"/>
    </row>
    <row r="330" spans="3:7" ht="14.25" customHeight="1" x14ac:dyDescent="0.55000000000000004">
      <c r="C330" s="2"/>
      <c r="D330" s="2"/>
      <c r="E330" s="2"/>
      <c r="F330" s="2"/>
      <c r="G330" s="2"/>
    </row>
    <row r="331" spans="3:7" ht="14.25" customHeight="1" x14ac:dyDescent="0.55000000000000004">
      <c r="C331" s="2"/>
      <c r="D331" s="2"/>
      <c r="E331" s="2"/>
      <c r="F331" s="2"/>
      <c r="G331" s="2"/>
    </row>
    <row r="332" spans="3:7" ht="14.25" customHeight="1" x14ac:dyDescent="0.55000000000000004">
      <c r="C332" s="2"/>
      <c r="D332" s="2"/>
      <c r="E332" s="2"/>
      <c r="F332" s="2"/>
      <c r="G332" s="2"/>
    </row>
    <row r="333" spans="3:7" ht="14.25" customHeight="1" x14ac:dyDescent="0.55000000000000004">
      <c r="C333" s="2"/>
      <c r="D333" s="2"/>
      <c r="E333" s="2"/>
      <c r="F333" s="2"/>
      <c r="G333" s="2"/>
    </row>
    <row r="334" spans="3:7" ht="14.25" customHeight="1" x14ac:dyDescent="0.55000000000000004">
      <c r="C334" s="2"/>
      <c r="D334" s="2"/>
      <c r="E334" s="2"/>
      <c r="F334" s="2"/>
      <c r="G334" s="2"/>
    </row>
    <row r="335" spans="3:7" ht="14.25" customHeight="1" x14ac:dyDescent="0.55000000000000004">
      <c r="C335" s="2"/>
      <c r="D335" s="2"/>
      <c r="E335" s="2"/>
      <c r="F335" s="2"/>
      <c r="G335" s="2"/>
    </row>
    <row r="336" spans="3:7" ht="14.25" customHeight="1" x14ac:dyDescent="0.55000000000000004">
      <c r="C336" s="2"/>
      <c r="D336" s="2"/>
      <c r="E336" s="2"/>
      <c r="F336" s="2"/>
      <c r="G336" s="2"/>
    </row>
    <row r="337" spans="3:7" ht="14.25" customHeight="1" x14ac:dyDescent="0.55000000000000004">
      <c r="C337" s="2"/>
      <c r="D337" s="2"/>
      <c r="E337" s="2"/>
      <c r="F337" s="2"/>
      <c r="G337" s="2"/>
    </row>
    <row r="338" spans="3:7" ht="14.25" customHeight="1" x14ac:dyDescent="0.55000000000000004">
      <c r="C338" s="2"/>
      <c r="D338" s="2"/>
      <c r="E338" s="2"/>
      <c r="F338" s="2"/>
      <c r="G338" s="2"/>
    </row>
    <row r="339" spans="3:7" ht="14.25" customHeight="1" x14ac:dyDescent="0.55000000000000004">
      <c r="C339" s="2"/>
      <c r="D339" s="2"/>
      <c r="E339" s="2"/>
      <c r="F339" s="2"/>
      <c r="G339" s="2"/>
    </row>
    <row r="340" spans="3:7" ht="14.25" customHeight="1" x14ac:dyDescent="0.55000000000000004">
      <c r="C340" s="2"/>
      <c r="D340" s="2"/>
      <c r="E340" s="2"/>
      <c r="F340" s="2"/>
      <c r="G340" s="2"/>
    </row>
    <row r="341" spans="3:7" ht="14.25" customHeight="1" x14ac:dyDescent="0.55000000000000004">
      <c r="C341" s="2"/>
      <c r="D341" s="2"/>
      <c r="E341" s="2"/>
      <c r="F341" s="2"/>
      <c r="G341" s="2"/>
    </row>
    <row r="342" spans="3:7" ht="14.25" customHeight="1" x14ac:dyDescent="0.55000000000000004">
      <c r="C342" s="2"/>
      <c r="D342" s="2"/>
      <c r="E342" s="2"/>
      <c r="F342" s="2"/>
      <c r="G342" s="2"/>
    </row>
    <row r="343" spans="3:7" ht="14.25" customHeight="1" x14ac:dyDescent="0.55000000000000004">
      <c r="C343" s="2"/>
      <c r="D343" s="2"/>
      <c r="E343" s="2"/>
      <c r="F343" s="2"/>
      <c r="G343" s="2"/>
    </row>
    <row r="344" spans="3:7" ht="14.25" customHeight="1" x14ac:dyDescent="0.55000000000000004">
      <c r="C344" s="2"/>
      <c r="D344" s="2"/>
      <c r="E344" s="2"/>
      <c r="F344" s="2"/>
      <c r="G344" s="2"/>
    </row>
    <row r="345" spans="3:7" ht="14.25" customHeight="1" x14ac:dyDescent="0.55000000000000004">
      <c r="C345" s="2"/>
      <c r="D345" s="2"/>
      <c r="E345" s="2"/>
      <c r="F345" s="2"/>
      <c r="G345" s="2"/>
    </row>
    <row r="346" spans="3:7" ht="14.25" customHeight="1" x14ac:dyDescent="0.55000000000000004">
      <c r="C346" s="2"/>
      <c r="D346" s="2"/>
      <c r="E346" s="2"/>
      <c r="F346" s="2"/>
      <c r="G346" s="2"/>
    </row>
    <row r="347" spans="3:7" ht="14.25" customHeight="1" x14ac:dyDescent="0.55000000000000004">
      <c r="C347" s="2"/>
      <c r="D347" s="2"/>
      <c r="E347" s="2"/>
      <c r="F347" s="2"/>
      <c r="G347" s="2"/>
    </row>
    <row r="348" spans="3:7" ht="14.25" customHeight="1" x14ac:dyDescent="0.55000000000000004">
      <c r="C348" s="2"/>
      <c r="D348" s="2"/>
      <c r="E348" s="2"/>
      <c r="F348" s="2"/>
      <c r="G348" s="2"/>
    </row>
    <row r="349" spans="3:7" ht="14.25" customHeight="1" x14ac:dyDescent="0.55000000000000004">
      <c r="C349" s="2"/>
      <c r="D349" s="2"/>
      <c r="E349" s="2"/>
      <c r="F349" s="2"/>
      <c r="G349" s="2"/>
    </row>
    <row r="350" spans="3:7" ht="14.25" customHeight="1" x14ac:dyDescent="0.55000000000000004">
      <c r="C350" s="2"/>
      <c r="D350" s="2"/>
      <c r="E350" s="2"/>
      <c r="F350" s="2"/>
      <c r="G350" s="2"/>
    </row>
    <row r="351" spans="3:7" ht="14.25" customHeight="1" x14ac:dyDescent="0.55000000000000004">
      <c r="C351" s="2"/>
      <c r="D351" s="2"/>
      <c r="E351" s="2"/>
      <c r="F351" s="2"/>
      <c r="G351" s="2"/>
    </row>
    <row r="352" spans="3:7" ht="14.25" customHeight="1" x14ac:dyDescent="0.55000000000000004">
      <c r="C352" s="2"/>
      <c r="D352" s="2"/>
      <c r="E352" s="2"/>
      <c r="F352" s="2"/>
      <c r="G352" s="2"/>
    </row>
    <row r="353" spans="3:7" ht="14.25" customHeight="1" x14ac:dyDescent="0.55000000000000004">
      <c r="C353" s="2"/>
      <c r="D353" s="2"/>
      <c r="E353" s="2"/>
      <c r="F353" s="2"/>
      <c r="G353" s="2"/>
    </row>
    <row r="354" spans="3:7" ht="14.25" customHeight="1" x14ac:dyDescent="0.55000000000000004">
      <c r="C354" s="2"/>
      <c r="D354" s="2"/>
      <c r="E354" s="2"/>
      <c r="F354" s="2"/>
      <c r="G354" s="2"/>
    </row>
    <row r="355" spans="3:7" ht="14.25" customHeight="1" x14ac:dyDescent="0.55000000000000004">
      <c r="C355" s="2"/>
      <c r="D355" s="2"/>
      <c r="E355" s="2"/>
      <c r="F355" s="2"/>
      <c r="G355" s="2"/>
    </row>
    <row r="356" spans="3:7" ht="14.25" customHeight="1" x14ac:dyDescent="0.55000000000000004">
      <c r="C356" s="2"/>
      <c r="D356" s="2"/>
      <c r="E356" s="2"/>
      <c r="F356" s="2"/>
      <c r="G356" s="2"/>
    </row>
    <row r="357" spans="3:7" ht="14.25" customHeight="1" x14ac:dyDescent="0.55000000000000004">
      <c r="C357" s="2"/>
      <c r="D357" s="2"/>
      <c r="E357" s="2"/>
      <c r="F357" s="2"/>
      <c r="G357" s="2"/>
    </row>
    <row r="358" spans="3:7" ht="14.25" customHeight="1" x14ac:dyDescent="0.55000000000000004">
      <c r="C358" s="2"/>
      <c r="D358" s="2"/>
      <c r="E358" s="2"/>
      <c r="F358" s="2"/>
      <c r="G358" s="2"/>
    </row>
    <row r="359" spans="3:7" ht="14.25" customHeight="1" x14ac:dyDescent="0.55000000000000004">
      <c r="C359" s="2"/>
      <c r="D359" s="2"/>
      <c r="E359" s="2"/>
      <c r="F359" s="2"/>
      <c r="G359" s="2"/>
    </row>
    <row r="360" spans="3:7" ht="14.25" customHeight="1" x14ac:dyDescent="0.55000000000000004">
      <c r="C360" s="2"/>
      <c r="D360" s="2"/>
      <c r="E360" s="2"/>
      <c r="F360" s="2"/>
      <c r="G360" s="2"/>
    </row>
    <row r="361" spans="3:7" ht="14.25" customHeight="1" x14ac:dyDescent="0.55000000000000004">
      <c r="C361" s="2"/>
      <c r="D361" s="2"/>
      <c r="E361" s="2"/>
      <c r="F361" s="2"/>
      <c r="G361" s="2"/>
    </row>
    <row r="362" spans="3:7" ht="14.25" customHeight="1" x14ac:dyDescent="0.55000000000000004">
      <c r="C362" s="2"/>
      <c r="D362" s="2"/>
      <c r="E362" s="2"/>
      <c r="F362" s="2"/>
      <c r="G362" s="2"/>
    </row>
    <row r="363" spans="3:7" ht="14.25" customHeight="1" x14ac:dyDescent="0.55000000000000004">
      <c r="C363" s="2"/>
      <c r="D363" s="2"/>
      <c r="E363" s="2"/>
      <c r="F363" s="2"/>
      <c r="G363" s="2"/>
    </row>
    <row r="364" spans="3:7" ht="14.25" customHeight="1" x14ac:dyDescent="0.55000000000000004">
      <c r="C364" s="2"/>
      <c r="D364" s="2"/>
      <c r="E364" s="2"/>
      <c r="F364" s="2"/>
      <c r="G364" s="2"/>
    </row>
    <row r="365" spans="3:7" ht="14.25" customHeight="1" x14ac:dyDescent="0.55000000000000004">
      <c r="C365" s="2"/>
      <c r="D365" s="2"/>
      <c r="E365" s="2"/>
      <c r="F365" s="2"/>
      <c r="G365" s="2"/>
    </row>
    <row r="366" spans="3:7" ht="14.25" customHeight="1" x14ac:dyDescent="0.55000000000000004">
      <c r="C366" s="2"/>
      <c r="D366" s="2"/>
      <c r="E366" s="2"/>
      <c r="F366" s="2"/>
      <c r="G366" s="2"/>
    </row>
    <row r="367" spans="3:7" ht="14.25" customHeight="1" x14ac:dyDescent="0.55000000000000004">
      <c r="C367" s="2"/>
      <c r="D367" s="2"/>
      <c r="E367" s="2"/>
      <c r="F367" s="2"/>
      <c r="G367" s="2"/>
    </row>
    <row r="368" spans="3:7" ht="14.25" customHeight="1" x14ac:dyDescent="0.55000000000000004">
      <c r="C368" s="2"/>
      <c r="D368" s="2"/>
      <c r="E368" s="2"/>
      <c r="F368" s="2"/>
      <c r="G368" s="2"/>
    </row>
    <row r="369" spans="3:7" ht="14.25" customHeight="1" x14ac:dyDescent="0.55000000000000004">
      <c r="C369" s="2"/>
      <c r="D369" s="2"/>
      <c r="E369" s="2"/>
      <c r="F369" s="2"/>
      <c r="G369" s="2"/>
    </row>
    <row r="370" spans="3:7" ht="14.25" customHeight="1" x14ac:dyDescent="0.55000000000000004">
      <c r="C370" s="2"/>
      <c r="D370" s="2"/>
      <c r="E370" s="2"/>
      <c r="F370" s="2"/>
      <c r="G370" s="2"/>
    </row>
    <row r="371" spans="3:7" ht="14.25" customHeight="1" x14ac:dyDescent="0.55000000000000004">
      <c r="C371" s="2"/>
      <c r="D371" s="2"/>
      <c r="E371" s="2"/>
      <c r="F371" s="2"/>
      <c r="G371" s="2"/>
    </row>
    <row r="372" spans="3:7" ht="14.25" customHeight="1" x14ac:dyDescent="0.55000000000000004">
      <c r="C372" s="2"/>
      <c r="D372" s="2"/>
      <c r="E372" s="2"/>
      <c r="F372" s="2"/>
      <c r="G372" s="2"/>
    </row>
    <row r="373" spans="3:7" ht="14.25" customHeight="1" x14ac:dyDescent="0.55000000000000004">
      <c r="C373" s="2"/>
      <c r="D373" s="2"/>
      <c r="E373" s="2"/>
      <c r="F373" s="2"/>
      <c r="G373" s="2"/>
    </row>
    <row r="374" spans="3:7" ht="14.25" customHeight="1" x14ac:dyDescent="0.55000000000000004">
      <c r="C374" s="2"/>
      <c r="D374" s="2"/>
      <c r="E374" s="2"/>
      <c r="F374" s="2"/>
      <c r="G374" s="2"/>
    </row>
    <row r="375" spans="3:7" ht="14.25" customHeight="1" x14ac:dyDescent="0.55000000000000004">
      <c r="C375" s="2"/>
      <c r="D375" s="2"/>
      <c r="E375" s="2"/>
      <c r="F375" s="2"/>
      <c r="G375" s="2"/>
    </row>
    <row r="376" spans="3:7" ht="14.25" customHeight="1" x14ac:dyDescent="0.55000000000000004">
      <c r="C376" s="2"/>
      <c r="D376" s="2"/>
      <c r="E376" s="2"/>
      <c r="F376" s="2"/>
      <c r="G376" s="2"/>
    </row>
    <row r="377" spans="3:7" ht="14.25" customHeight="1" x14ac:dyDescent="0.55000000000000004">
      <c r="C377" s="2"/>
      <c r="D377" s="2"/>
      <c r="E377" s="2"/>
      <c r="F377" s="2"/>
      <c r="G377" s="2"/>
    </row>
    <row r="378" spans="3:7" ht="14.25" customHeight="1" x14ac:dyDescent="0.55000000000000004">
      <c r="C378" s="2"/>
      <c r="D378" s="2"/>
      <c r="E378" s="2"/>
      <c r="F378" s="2"/>
      <c r="G378" s="2"/>
    </row>
    <row r="379" spans="3:7" ht="14.25" customHeight="1" x14ac:dyDescent="0.55000000000000004">
      <c r="C379" s="2"/>
      <c r="D379" s="2"/>
      <c r="E379" s="2"/>
      <c r="F379" s="2"/>
      <c r="G379" s="2"/>
    </row>
    <row r="380" spans="3:7" ht="14.25" customHeight="1" x14ac:dyDescent="0.55000000000000004">
      <c r="C380" s="2"/>
      <c r="D380" s="2"/>
      <c r="E380" s="2"/>
      <c r="F380" s="2"/>
      <c r="G380" s="2"/>
    </row>
    <row r="381" spans="3:7" ht="14.25" customHeight="1" x14ac:dyDescent="0.55000000000000004">
      <c r="C381" s="2"/>
      <c r="D381" s="2"/>
      <c r="E381" s="2"/>
      <c r="F381" s="2"/>
      <c r="G381" s="2"/>
    </row>
    <row r="382" spans="3:7" ht="14.25" customHeight="1" x14ac:dyDescent="0.55000000000000004">
      <c r="C382" s="2"/>
      <c r="D382" s="2"/>
      <c r="E382" s="2"/>
      <c r="F382" s="2"/>
      <c r="G382" s="2"/>
    </row>
    <row r="383" spans="3:7" ht="14.25" customHeight="1" x14ac:dyDescent="0.55000000000000004">
      <c r="C383" s="2"/>
      <c r="D383" s="2"/>
      <c r="E383" s="2"/>
      <c r="F383" s="2"/>
      <c r="G383" s="2"/>
    </row>
    <row r="384" spans="3:7" ht="14.25" customHeight="1" x14ac:dyDescent="0.55000000000000004">
      <c r="C384" s="2"/>
      <c r="D384" s="2"/>
      <c r="E384" s="2"/>
      <c r="F384" s="2"/>
      <c r="G384" s="2"/>
    </row>
    <row r="385" spans="3:7" ht="14.25" customHeight="1" x14ac:dyDescent="0.55000000000000004">
      <c r="C385" s="2"/>
      <c r="D385" s="2"/>
      <c r="E385" s="2"/>
      <c r="F385" s="2"/>
      <c r="G385" s="2"/>
    </row>
    <row r="386" spans="3:7" ht="14.25" customHeight="1" x14ac:dyDescent="0.55000000000000004">
      <c r="C386" s="2"/>
      <c r="D386" s="2"/>
      <c r="E386" s="2"/>
      <c r="F386" s="2"/>
      <c r="G386" s="2"/>
    </row>
    <row r="387" spans="3:7" ht="14.25" customHeight="1" x14ac:dyDescent="0.55000000000000004">
      <c r="C387" s="2"/>
      <c r="D387" s="2"/>
      <c r="E387" s="2"/>
      <c r="F387" s="2"/>
      <c r="G387" s="2"/>
    </row>
    <row r="388" spans="3:7" ht="14.25" customHeight="1" x14ac:dyDescent="0.55000000000000004">
      <c r="C388" s="2"/>
      <c r="D388" s="2"/>
      <c r="E388" s="2"/>
      <c r="F388" s="2"/>
      <c r="G388" s="2"/>
    </row>
    <row r="389" spans="3:7" ht="14.25" customHeight="1" x14ac:dyDescent="0.55000000000000004">
      <c r="C389" s="2"/>
      <c r="D389" s="2"/>
      <c r="E389" s="2"/>
      <c r="F389" s="2"/>
      <c r="G389" s="2"/>
    </row>
    <row r="390" spans="3:7" ht="14.25" customHeight="1" x14ac:dyDescent="0.55000000000000004">
      <c r="C390" s="2"/>
      <c r="D390" s="2"/>
      <c r="E390" s="2"/>
      <c r="F390" s="2"/>
      <c r="G390" s="2"/>
    </row>
    <row r="391" spans="3:7" ht="14.25" customHeight="1" x14ac:dyDescent="0.55000000000000004">
      <c r="C391" s="2"/>
      <c r="D391" s="2"/>
      <c r="E391" s="2"/>
      <c r="F391" s="2"/>
      <c r="G391" s="2"/>
    </row>
    <row r="392" spans="3:7" ht="14.25" customHeight="1" x14ac:dyDescent="0.55000000000000004">
      <c r="C392" s="2"/>
      <c r="D392" s="2"/>
      <c r="E392" s="2"/>
      <c r="F392" s="2"/>
      <c r="G392" s="2"/>
    </row>
    <row r="393" spans="3:7" ht="14.25" customHeight="1" x14ac:dyDescent="0.55000000000000004">
      <c r="C393" s="2"/>
      <c r="D393" s="2"/>
      <c r="E393" s="2"/>
      <c r="F393" s="2"/>
      <c r="G393" s="2"/>
    </row>
    <row r="394" spans="3:7" ht="14.25" customHeight="1" x14ac:dyDescent="0.55000000000000004">
      <c r="C394" s="2"/>
      <c r="D394" s="2"/>
      <c r="E394" s="2"/>
      <c r="F394" s="2"/>
      <c r="G394" s="2"/>
    </row>
    <row r="395" spans="3:7" ht="14.25" customHeight="1" x14ac:dyDescent="0.55000000000000004">
      <c r="C395" s="2"/>
      <c r="D395" s="2"/>
      <c r="E395" s="2"/>
      <c r="F395" s="2"/>
      <c r="G395" s="2"/>
    </row>
    <row r="396" spans="3:7" ht="14.25" customHeight="1" x14ac:dyDescent="0.55000000000000004">
      <c r="C396" s="2"/>
      <c r="D396" s="2"/>
      <c r="E396" s="2"/>
      <c r="F396" s="2"/>
      <c r="G396" s="2"/>
    </row>
    <row r="397" spans="3:7" ht="14.25" customHeight="1" x14ac:dyDescent="0.55000000000000004">
      <c r="C397" s="2"/>
      <c r="D397" s="2"/>
      <c r="E397" s="2"/>
      <c r="F397" s="2"/>
      <c r="G397" s="2"/>
    </row>
    <row r="398" spans="3:7" ht="14.25" customHeight="1" x14ac:dyDescent="0.55000000000000004">
      <c r="C398" s="2"/>
      <c r="D398" s="2"/>
      <c r="E398" s="2"/>
      <c r="F398" s="2"/>
      <c r="G398" s="2"/>
    </row>
    <row r="399" spans="3:7" ht="14.25" customHeight="1" x14ac:dyDescent="0.55000000000000004">
      <c r="C399" s="2"/>
      <c r="D399" s="2"/>
      <c r="E399" s="2"/>
      <c r="F399" s="2"/>
      <c r="G399" s="2"/>
    </row>
    <row r="400" spans="3:7" ht="14.25" customHeight="1" x14ac:dyDescent="0.55000000000000004">
      <c r="C400" s="2"/>
      <c r="D400" s="2"/>
      <c r="E400" s="2"/>
      <c r="F400" s="2"/>
      <c r="G400" s="2"/>
    </row>
    <row r="401" spans="3:7" ht="14.25" customHeight="1" x14ac:dyDescent="0.55000000000000004">
      <c r="C401" s="2"/>
      <c r="D401" s="2"/>
      <c r="E401" s="2"/>
      <c r="F401" s="2"/>
      <c r="G401" s="2"/>
    </row>
    <row r="402" spans="3:7" ht="14.25" customHeight="1" x14ac:dyDescent="0.55000000000000004">
      <c r="C402" s="2"/>
      <c r="D402" s="2"/>
      <c r="E402" s="2"/>
      <c r="F402" s="2"/>
      <c r="G402" s="2"/>
    </row>
    <row r="403" spans="3:7" ht="14.25" customHeight="1" x14ac:dyDescent="0.55000000000000004">
      <c r="C403" s="2"/>
      <c r="D403" s="2"/>
      <c r="E403" s="2"/>
      <c r="F403" s="2"/>
      <c r="G403" s="2"/>
    </row>
    <row r="404" spans="3:7" ht="14.25" customHeight="1" x14ac:dyDescent="0.55000000000000004">
      <c r="C404" s="2"/>
      <c r="D404" s="2"/>
      <c r="E404" s="2"/>
      <c r="F404" s="2"/>
      <c r="G404" s="2"/>
    </row>
    <row r="405" spans="3:7" ht="14.25" customHeight="1" x14ac:dyDescent="0.55000000000000004">
      <c r="C405" s="2"/>
      <c r="D405" s="2"/>
      <c r="E405" s="2"/>
      <c r="F405" s="2"/>
      <c r="G405" s="2"/>
    </row>
    <row r="406" spans="3:7" ht="14.25" customHeight="1" x14ac:dyDescent="0.55000000000000004">
      <c r="C406" s="2"/>
      <c r="D406" s="2"/>
      <c r="E406" s="2"/>
      <c r="F406" s="2"/>
      <c r="G406" s="2"/>
    </row>
    <row r="407" spans="3:7" ht="14.25" customHeight="1" x14ac:dyDescent="0.55000000000000004">
      <c r="C407" s="2"/>
      <c r="D407" s="2"/>
      <c r="E407" s="2"/>
      <c r="F407" s="2"/>
      <c r="G407" s="2"/>
    </row>
    <row r="408" spans="3:7" ht="14.25" customHeight="1" x14ac:dyDescent="0.55000000000000004">
      <c r="C408" s="2"/>
      <c r="D408" s="2"/>
      <c r="E408" s="2"/>
      <c r="F408" s="2"/>
      <c r="G408" s="2"/>
    </row>
    <row r="409" spans="3:7" ht="14.25" customHeight="1" x14ac:dyDescent="0.55000000000000004">
      <c r="C409" s="2"/>
      <c r="D409" s="2"/>
      <c r="E409" s="2"/>
      <c r="F409" s="2"/>
      <c r="G409" s="2"/>
    </row>
    <row r="410" spans="3:7" ht="14.25" customHeight="1" x14ac:dyDescent="0.55000000000000004">
      <c r="C410" s="2"/>
      <c r="D410" s="2"/>
      <c r="E410" s="2"/>
      <c r="F410" s="2"/>
      <c r="G410" s="2"/>
    </row>
    <row r="411" spans="3:7" ht="14.25" customHeight="1" x14ac:dyDescent="0.55000000000000004">
      <c r="C411" s="2"/>
      <c r="D411" s="2"/>
      <c r="E411" s="2"/>
      <c r="F411" s="2"/>
      <c r="G411" s="2"/>
    </row>
    <row r="412" spans="3:7" ht="14.25" customHeight="1" x14ac:dyDescent="0.55000000000000004">
      <c r="C412" s="2"/>
      <c r="D412" s="2"/>
      <c r="E412" s="2"/>
      <c r="F412" s="2"/>
      <c r="G412" s="2"/>
    </row>
    <row r="413" spans="3:7" ht="14.25" customHeight="1" x14ac:dyDescent="0.55000000000000004">
      <c r="C413" s="2"/>
      <c r="D413" s="2"/>
      <c r="E413" s="2"/>
      <c r="F413" s="2"/>
      <c r="G413" s="2"/>
    </row>
    <row r="414" spans="3:7" ht="14.25" customHeight="1" x14ac:dyDescent="0.55000000000000004">
      <c r="C414" s="2"/>
      <c r="D414" s="2"/>
      <c r="E414" s="2"/>
      <c r="F414" s="2"/>
      <c r="G414" s="2"/>
    </row>
    <row r="415" spans="3:7" ht="14.25" customHeight="1" x14ac:dyDescent="0.55000000000000004">
      <c r="C415" s="2"/>
      <c r="D415" s="2"/>
      <c r="E415" s="2"/>
      <c r="F415" s="2"/>
      <c r="G415" s="2"/>
    </row>
    <row r="416" spans="3:7" ht="14.25" customHeight="1" x14ac:dyDescent="0.55000000000000004">
      <c r="C416" s="2"/>
      <c r="D416" s="2"/>
      <c r="E416" s="2"/>
      <c r="F416" s="2"/>
      <c r="G416" s="2"/>
    </row>
    <row r="417" spans="3:7" ht="14.25" customHeight="1" x14ac:dyDescent="0.55000000000000004">
      <c r="C417" s="2"/>
      <c r="D417" s="2"/>
      <c r="E417" s="2"/>
      <c r="F417" s="2"/>
      <c r="G417" s="2"/>
    </row>
    <row r="418" spans="3:7" ht="14.25" customHeight="1" x14ac:dyDescent="0.55000000000000004">
      <c r="C418" s="2"/>
      <c r="D418" s="2"/>
      <c r="E418" s="2"/>
      <c r="F418" s="2"/>
      <c r="G418" s="2"/>
    </row>
    <row r="419" spans="3:7" ht="14.25" customHeight="1" x14ac:dyDescent="0.55000000000000004">
      <c r="C419" s="2"/>
      <c r="D419" s="2"/>
      <c r="E419" s="2"/>
      <c r="F419" s="2"/>
      <c r="G419" s="2"/>
    </row>
    <row r="420" spans="3:7" ht="14.25" customHeight="1" x14ac:dyDescent="0.55000000000000004">
      <c r="C420" s="2"/>
      <c r="D420" s="2"/>
      <c r="E420" s="2"/>
      <c r="F420" s="2"/>
      <c r="G420" s="2"/>
    </row>
    <row r="421" spans="3:7" ht="14.25" customHeight="1" x14ac:dyDescent="0.55000000000000004">
      <c r="C421" s="2"/>
      <c r="D421" s="2"/>
      <c r="E421" s="2"/>
      <c r="F421" s="2"/>
      <c r="G421" s="2"/>
    </row>
    <row r="422" spans="3:7" ht="14.25" customHeight="1" x14ac:dyDescent="0.55000000000000004">
      <c r="C422" s="2"/>
      <c r="D422" s="2"/>
      <c r="E422" s="2"/>
      <c r="F422" s="2"/>
      <c r="G422" s="2"/>
    </row>
    <row r="423" spans="3:7" ht="14.25" customHeight="1" x14ac:dyDescent="0.55000000000000004">
      <c r="C423" s="2"/>
      <c r="D423" s="2"/>
      <c r="E423" s="2"/>
      <c r="F423" s="2"/>
      <c r="G423" s="2"/>
    </row>
    <row r="424" spans="3:7" ht="14.25" customHeight="1" x14ac:dyDescent="0.55000000000000004">
      <c r="C424" s="2"/>
      <c r="D424" s="2"/>
      <c r="E424" s="2"/>
      <c r="F424" s="2"/>
      <c r="G424" s="2"/>
    </row>
    <row r="425" spans="3:7" ht="14.25" customHeight="1" x14ac:dyDescent="0.55000000000000004">
      <c r="C425" s="2"/>
      <c r="D425" s="2"/>
      <c r="E425" s="2"/>
      <c r="F425" s="2"/>
      <c r="G425" s="2"/>
    </row>
    <row r="426" spans="3:7" ht="14.25" customHeight="1" x14ac:dyDescent="0.55000000000000004">
      <c r="C426" s="2"/>
      <c r="D426" s="2"/>
      <c r="E426" s="2"/>
      <c r="F426" s="2"/>
      <c r="G426" s="2"/>
    </row>
    <row r="427" spans="3:7" ht="14.25" customHeight="1" x14ac:dyDescent="0.55000000000000004">
      <c r="C427" s="2"/>
      <c r="D427" s="2"/>
      <c r="E427" s="2"/>
      <c r="F427" s="2"/>
      <c r="G427" s="2"/>
    </row>
    <row r="428" spans="3:7" ht="14.25" customHeight="1" x14ac:dyDescent="0.55000000000000004">
      <c r="C428" s="2"/>
      <c r="D428" s="2"/>
      <c r="E428" s="2"/>
      <c r="F428" s="2"/>
      <c r="G428" s="2"/>
    </row>
    <row r="429" spans="3:7" ht="14.25" customHeight="1" x14ac:dyDescent="0.55000000000000004">
      <c r="C429" s="2"/>
      <c r="D429" s="2"/>
      <c r="E429" s="2"/>
      <c r="F429" s="2"/>
      <c r="G429" s="2"/>
    </row>
    <row r="430" spans="3:7" ht="14.25" customHeight="1" x14ac:dyDescent="0.55000000000000004">
      <c r="C430" s="2"/>
      <c r="D430" s="2"/>
      <c r="E430" s="2"/>
      <c r="F430" s="2"/>
      <c r="G430" s="2"/>
    </row>
    <row r="431" spans="3:7" ht="14.25" customHeight="1" x14ac:dyDescent="0.55000000000000004">
      <c r="C431" s="2"/>
      <c r="D431" s="2"/>
      <c r="E431" s="2"/>
      <c r="F431" s="2"/>
      <c r="G431" s="2"/>
    </row>
    <row r="432" spans="3:7" ht="14.25" customHeight="1" x14ac:dyDescent="0.55000000000000004">
      <c r="C432" s="2"/>
      <c r="D432" s="2"/>
      <c r="E432" s="2"/>
      <c r="F432" s="2"/>
      <c r="G432" s="2"/>
    </row>
    <row r="433" spans="3:7" ht="14.25" customHeight="1" x14ac:dyDescent="0.55000000000000004">
      <c r="C433" s="2"/>
      <c r="D433" s="2"/>
      <c r="E433" s="2"/>
      <c r="F433" s="2"/>
      <c r="G433" s="2"/>
    </row>
    <row r="434" spans="3:7" ht="14.25" customHeight="1" x14ac:dyDescent="0.55000000000000004">
      <c r="C434" s="2"/>
      <c r="D434" s="2"/>
      <c r="E434" s="2"/>
      <c r="F434" s="2"/>
      <c r="G434" s="2"/>
    </row>
    <row r="435" spans="3:7" ht="14.25" customHeight="1" x14ac:dyDescent="0.55000000000000004">
      <c r="C435" s="2"/>
      <c r="D435" s="2"/>
      <c r="E435" s="2"/>
      <c r="F435" s="2"/>
      <c r="G435" s="2"/>
    </row>
    <row r="436" spans="3:7" ht="14.25" customHeight="1" x14ac:dyDescent="0.55000000000000004">
      <c r="C436" s="2"/>
      <c r="D436" s="2"/>
      <c r="E436" s="2"/>
      <c r="F436" s="2"/>
      <c r="G436" s="2"/>
    </row>
    <row r="437" spans="3:7" ht="14.25" customHeight="1" x14ac:dyDescent="0.55000000000000004">
      <c r="C437" s="2"/>
      <c r="D437" s="2"/>
      <c r="E437" s="2"/>
      <c r="F437" s="2"/>
      <c r="G437" s="2"/>
    </row>
    <row r="438" spans="3:7" ht="14.25" customHeight="1" x14ac:dyDescent="0.55000000000000004">
      <c r="C438" s="2"/>
      <c r="D438" s="2"/>
      <c r="E438" s="2"/>
      <c r="F438" s="2"/>
      <c r="G438" s="2"/>
    </row>
    <row r="439" spans="3:7" ht="14.25" customHeight="1" x14ac:dyDescent="0.55000000000000004">
      <c r="C439" s="2"/>
      <c r="D439" s="2"/>
      <c r="E439" s="2"/>
      <c r="F439" s="2"/>
      <c r="G439" s="2"/>
    </row>
    <row r="440" spans="3:7" ht="14.25" customHeight="1" x14ac:dyDescent="0.55000000000000004">
      <c r="C440" s="2"/>
      <c r="D440" s="2"/>
      <c r="E440" s="2"/>
      <c r="F440" s="2"/>
      <c r="G440" s="2"/>
    </row>
    <row r="441" spans="3:7" ht="14.25" customHeight="1" x14ac:dyDescent="0.55000000000000004">
      <c r="C441" s="2"/>
      <c r="D441" s="2"/>
      <c r="E441" s="2"/>
      <c r="F441" s="2"/>
      <c r="G441" s="2"/>
    </row>
    <row r="442" spans="3:7" ht="14.25" customHeight="1" x14ac:dyDescent="0.55000000000000004">
      <c r="C442" s="2"/>
      <c r="D442" s="2"/>
      <c r="E442" s="2"/>
      <c r="F442" s="2"/>
      <c r="G442" s="2"/>
    </row>
    <row r="443" spans="3:7" ht="14.25" customHeight="1" x14ac:dyDescent="0.55000000000000004">
      <c r="C443" s="2"/>
      <c r="D443" s="2"/>
      <c r="E443" s="2"/>
      <c r="F443" s="2"/>
      <c r="G443" s="2"/>
    </row>
    <row r="444" spans="3:7" ht="14.25" customHeight="1" x14ac:dyDescent="0.55000000000000004">
      <c r="C444" s="2"/>
      <c r="D444" s="2"/>
      <c r="E444" s="2"/>
      <c r="F444" s="2"/>
      <c r="G444" s="2"/>
    </row>
    <row r="445" spans="3:7" ht="14.25" customHeight="1" x14ac:dyDescent="0.55000000000000004">
      <c r="C445" s="2"/>
      <c r="D445" s="2"/>
      <c r="E445" s="2"/>
      <c r="F445" s="2"/>
      <c r="G445" s="2"/>
    </row>
    <row r="446" spans="3:7" ht="14.25" customHeight="1" x14ac:dyDescent="0.55000000000000004">
      <c r="C446" s="2"/>
      <c r="D446" s="2"/>
      <c r="E446" s="2"/>
      <c r="F446" s="2"/>
      <c r="G446" s="2"/>
    </row>
    <row r="447" spans="3:7" ht="14.25" customHeight="1" x14ac:dyDescent="0.55000000000000004">
      <c r="C447" s="2"/>
      <c r="D447" s="2"/>
      <c r="E447" s="2"/>
      <c r="F447" s="2"/>
      <c r="G447" s="2"/>
    </row>
    <row r="448" spans="3:7" ht="14.25" customHeight="1" x14ac:dyDescent="0.55000000000000004">
      <c r="C448" s="2"/>
      <c r="D448" s="2"/>
      <c r="E448" s="2"/>
      <c r="F448" s="2"/>
      <c r="G448" s="2"/>
    </row>
    <row r="449" spans="3:7" ht="14.25" customHeight="1" x14ac:dyDescent="0.55000000000000004">
      <c r="C449" s="2"/>
      <c r="D449" s="2"/>
      <c r="E449" s="2"/>
      <c r="F449" s="2"/>
      <c r="G449" s="2"/>
    </row>
    <row r="450" spans="3:7" ht="14.25" customHeight="1" x14ac:dyDescent="0.55000000000000004">
      <c r="C450" s="2"/>
      <c r="D450" s="2"/>
      <c r="E450" s="2"/>
      <c r="F450" s="2"/>
      <c r="G450" s="2"/>
    </row>
    <row r="451" spans="3:7" ht="14.25" customHeight="1" x14ac:dyDescent="0.55000000000000004">
      <c r="C451" s="2"/>
      <c r="D451" s="2"/>
      <c r="E451" s="2"/>
      <c r="F451" s="2"/>
      <c r="G451" s="2"/>
    </row>
    <row r="452" spans="3:7" ht="14.25" customHeight="1" x14ac:dyDescent="0.55000000000000004">
      <c r="C452" s="2"/>
      <c r="D452" s="2"/>
      <c r="E452" s="2"/>
      <c r="F452" s="2"/>
      <c r="G452" s="2"/>
    </row>
    <row r="453" spans="3:7" ht="14.25" customHeight="1" x14ac:dyDescent="0.55000000000000004">
      <c r="C453" s="2"/>
      <c r="D453" s="2"/>
      <c r="E453" s="2"/>
      <c r="F453" s="2"/>
      <c r="G453" s="2"/>
    </row>
    <row r="454" spans="3:7" ht="14.25" customHeight="1" x14ac:dyDescent="0.55000000000000004">
      <c r="C454" s="2"/>
      <c r="D454" s="2"/>
      <c r="E454" s="2"/>
      <c r="F454" s="2"/>
      <c r="G454" s="2"/>
    </row>
    <row r="455" spans="3:7" ht="14.25" customHeight="1" x14ac:dyDescent="0.55000000000000004">
      <c r="C455" s="2"/>
      <c r="D455" s="2"/>
      <c r="E455" s="2"/>
      <c r="F455" s="2"/>
      <c r="G455" s="2"/>
    </row>
    <row r="456" spans="3:7" ht="14.25" customHeight="1" x14ac:dyDescent="0.55000000000000004">
      <c r="C456" s="2"/>
      <c r="D456" s="2"/>
      <c r="E456" s="2"/>
      <c r="F456" s="2"/>
      <c r="G456" s="2"/>
    </row>
    <row r="457" spans="3:7" ht="14.25" customHeight="1" x14ac:dyDescent="0.55000000000000004">
      <c r="C457" s="2"/>
      <c r="D457" s="2"/>
      <c r="E457" s="2"/>
      <c r="F457" s="2"/>
      <c r="G457" s="2"/>
    </row>
    <row r="458" spans="3:7" ht="14.25" customHeight="1" x14ac:dyDescent="0.55000000000000004">
      <c r="C458" s="2"/>
      <c r="D458" s="2"/>
      <c r="E458" s="2"/>
      <c r="F458" s="2"/>
      <c r="G458" s="2"/>
    </row>
    <row r="459" spans="3:7" ht="14.25" customHeight="1" x14ac:dyDescent="0.55000000000000004">
      <c r="C459" s="2"/>
      <c r="D459" s="2"/>
      <c r="E459" s="2"/>
      <c r="F459" s="2"/>
      <c r="G459" s="2"/>
    </row>
    <row r="460" spans="3:7" ht="14.25" customHeight="1" x14ac:dyDescent="0.55000000000000004">
      <c r="C460" s="2"/>
      <c r="D460" s="2"/>
      <c r="E460" s="2"/>
      <c r="F460" s="2"/>
      <c r="G460" s="2"/>
    </row>
    <row r="461" spans="3:7" ht="14.25" customHeight="1" x14ac:dyDescent="0.55000000000000004">
      <c r="C461" s="2"/>
      <c r="D461" s="2"/>
      <c r="E461" s="2"/>
      <c r="F461" s="2"/>
      <c r="G461" s="2"/>
    </row>
    <row r="462" spans="3:7" ht="14.25" customHeight="1" x14ac:dyDescent="0.55000000000000004">
      <c r="C462" s="2"/>
      <c r="D462" s="2"/>
      <c r="E462" s="2"/>
      <c r="F462" s="2"/>
      <c r="G462" s="2"/>
    </row>
    <row r="463" spans="3:7" ht="14.25" customHeight="1" x14ac:dyDescent="0.55000000000000004">
      <c r="C463" s="2"/>
      <c r="D463" s="2"/>
      <c r="E463" s="2"/>
      <c r="F463" s="2"/>
      <c r="G463" s="2"/>
    </row>
    <row r="464" spans="3:7" ht="14.25" customHeight="1" x14ac:dyDescent="0.55000000000000004">
      <c r="C464" s="2"/>
      <c r="D464" s="2"/>
      <c r="E464" s="2"/>
      <c r="F464" s="2"/>
      <c r="G464" s="2"/>
    </row>
    <row r="465" spans="3:7" ht="14.25" customHeight="1" x14ac:dyDescent="0.55000000000000004">
      <c r="C465" s="2"/>
      <c r="D465" s="2"/>
      <c r="E465" s="2"/>
      <c r="F465" s="2"/>
      <c r="G465" s="2"/>
    </row>
    <row r="466" spans="3:7" ht="14.25" customHeight="1" x14ac:dyDescent="0.55000000000000004">
      <c r="C466" s="2"/>
      <c r="D466" s="2"/>
      <c r="E466" s="2"/>
      <c r="F466" s="2"/>
      <c r="G466" s="2"/>
    </row>
    <row r="467" spans="3:7" ht="14.25" customHeight="1" x14ac:dyDescent="0.55000000000000004">
      <c r="C467" s="2"/>
      <c r="D467" s="2"/>
      <c r="E467" s="2"/>
      <c r="F467" s="2"/>
      <c r="G467" s="2"/>
    </row>
    <row r="468" spans="3:7" ht="14.25" customHeight="1" x14ac:dyDescent="0.55000000000000004">
      <c r="C468" s="2"/>
      <c r="D468" s="2"/>
      <c r="E468" s="2"/>
      <c r="F468" s="2"/>
      <c r="G468" s="2"/>
    </row>
    <row r="469" spans="3:7" ht="14.25" customHeight="1" x14ac:dyDescent="0.55000000000000004">
      <c r="C469" s="2"/>
      <c r="D469" s="2"/>
      <c r="E469" s="2"/>
      <c r="F469" s="2"/>
      <c r="G469" s="2"/>
    </row>
    <row r="470" spans="3:7" ht="14.25" customHeight="1" x14ac:dyDescent="0.55000000000000004">
      <c r="C470" s="2"/>
      <c r="D470" s="2"/>
      <c r="E470" s="2"/>
      <c r="F470" s="2"/>
      <c r="G470" s="2"/>
    </row>
    <row r="471" spans="3:7" ht="14.25" customHeight="1" x14ac:dyDescent="0.55000000000000004">
      <c r="C471" s="2"/>
      <c r="D471" s="2"/>
      <c r="E471" s="2"/>
      <c r="F471" s="2"/>
      <c r="G471" s="2"/>
    </row>
    <row r="472" spans="3:7" ht="14.25" customHeight="1" x14ac:dyDescent="0.55000000000000004">
      <c r="C472" s="2"/>
      <c r="D472" s="2"/>
      <c r="E472" s="2"/>
      <c r="F472" s="2"/>
      <c r="G472" s="2"/>
    </row>
    <row r="473" spans="3:7" ht="14.25" customHeight="1" x14ac:dyDescent="0.55000000000000004">
      <c r="C473" s="2"/>
      <c r="D473" s="2"/>
      <c r="E473" s="2"/>
      <c r="F473" s="2"/>
      <c r="G473" s="2"/>
    </row>
    <row r="474" spans="3:7" ht="14.25" customHeight="1" x14ac:dyDescent="0.55000000000000004">
      <c r="C474" s="2"/>
      <c r="D474" s="2"/>
      <c r="E474" s="2"/>
      <c r="F474" s="2"/>
      <c r="G474" s="2"/>
    </row>
    <row r="475" spans="3:7" ht="14.25" customHeight="1" x14ac:dyDescent="0.55000000000000004">
      <c r="C475" s="2"/>
      <c r="D475" s="2"/>
      <c r="E475" s="2"/>
      <c r="F475" s="2"/>
      <c r="G475" s="2"/>
    </row>
    <row r="476" spans="3:7" ht="14.25" customHeight="1" x14ac:dyDescent="0.55000000000000004">
      <c r="C476" s="2"/>
      <c r="D476" s="2"/>
      <c r="E476" s="2"/>
      <c r="F476" s="2"/>
      <c r="G476" s="2"/>
    </row>
    <row r="477" spans="3:7" ht="14.25" customHeight="1" x14ac:dyDescent="0.55000000000000004">
      <c r="C477" s="2"/>
      <c r="D477" s="2"/>
      <c r="E477" s="2"/>
      <c r="F477" s="2"/>
      <c r="G477" s="2"/>
    </row>
    <row r="478" spans="3:7" ht="14.25" customHeight="1" x14ac:dyDescent="0.55000000000000004">
      <c r="C478" s="2"/>
      <c r="D478" s="2"/>
      <c r="E478" s="2"/>
      <c r="F478" s="2"/>
      <c r="G478" s="2"/>
    </row>
    <row r="479" spans="3:7" ht="14.25" customHeight="1" x14ac:dyDescent="0.55000000000000004">
      <c r="C479" s="2"/>
      <c r="D479" s="2"/>
      <c r="E479" s="2"/>
      <c r="F479" s="2"/>
      <c r="G479" s="2"/>
    </row>
    <row r="480" spans="3:7" ht="14.25" customHeight="1" x14ac:dyDescent="0.55000000000000004">
      <c r="C480" s="2"/>
      <c r="D480" s="2"/>
      <c r="E480" s="2"/>
      <c r="F480" s="2"/>
      <c r="G480" s="2"/>
    </row>
    <row r="481" spans="3:7" ht="14.25" customHeight="1" x14ac:dyDescent="0.55000000000000004">
      <c r="C481" s="2"/>
      <c r="D481" s="2"/>
      <c r="E481" s="2"/>
      <c r="F481" s="2"/>
      <c r="G481" s="2"/>
    </row>
    <row r="482" spans="3:7" ht="14.25" customHeight="1" x14ac:dyDescent="0.55000000000000004">
      <c r="C482" s="2"/>
      <c r="D482" s="2"/>
      <c r="E482" s="2"/>
      <c r="F482" s="2"/>
      <c r="G482" s="2"/>
    </row>
    <row r="483" spans="3:7" ht="14.25" customHeight="1" x14ac:dyDescent="0.55000000000000004">
      <c r="C483" s="2"/>
      <c r="D483" s="2"/>
      <c r="E483" s="2"/>
      <c r="F483" s="2"/>
      <c r="G483" s="2"/>
    </row>
    <row r="484" spans="3:7" ht="14.25" customHeight="1" x14ac:dyDescent="0.55000000000000004">
      <c r="C484" s="2"/>
      <c r="D484" s="2"/>
      <c r="E484" s="2"/>
      <c r="F484" s="2"/>
      <c r="G484" s="2"/>
    </row>
    <row r="485" spans="3:7" ht="14.25" customHeight="1" x14ac:dyDescent="0.55000000000000004">
      <c r="C485" s="2"/>
      <c r="D485" s="2"/>
      <c r="E485" s="2"/>
      <c r="F485" s="2"/>
      <c r="G485" s="2"/>
    </row>
    <row r="486" spans="3:7" ht="14.25" customHeight="1" x14ac:dyDescent="0.55000000000000004">
      <c r="C486" s="2"/>
      <c r="D486" s="2"/>
      <c r="E486" s="2"/>
      <c r="F486" s="2"/>
      <c r="G486" s="2"/>
    </row>
    <row r="487" spans="3:7" ht="14.25" customHeight="1" x14ac:dyDescent="0.55000000000000004">
      <c r="C487" s="2"/>
      <c r="D487" s="2"/>
      <c r="E487" s="2"/>
      <c r="F487" s="2"/>
      <c r="G487" s="2"/>
    </row>
    <row r="488" spans="3:7" ht="14.25" customHeight="1" x14ac:dyDescent="0.55000000000000004">
      <c r="C488" s="2"/>
      <c r="D488" s="2"/>
      <c r="E488" s="2"/>
      <c r="F488" s="2"/>
      <c r="G488" s="2"/>
    </row>
    <row r="489" spans="3:7" ht="14.25" customHeight="1" x14ac:dyDescent="0.55000000000000004">
      <c r="C489" s="2"/>
      <c r="D489" s="2"/>
      <c r="E489" s="2"/>
      <c r="F489" s="2"/>
      <c r="G489" s="2"/>
    </row>
    <row r="490" spans="3:7" ht="14.25" customHeight="1" x14ac:dyDescent="0.55000000000000004">
      <c r="C490" s="2"/>
      <c r="D490" s="2"/>
      <c r="E490" s="2"/>
      <c r="F490" s="2"/>
      <c r="G490" s="2"/>
    </row>
    <row r="491" spans="3:7" ht="14.25" customHeight="1" x14ac:dyDescent="0.55000000000000004">
      <c r="C491" s="2"/>
      <c r="D491" s="2"/>
      <c r="E491" s="2"/>
      <c r="F491" s="2"/>
      <c r="G491" s="2"/>
    </row>
    <row r="492" spans="3:7" ht="14.25" customHeight="1" x14ac:dyDescent="0.55000000000000004">
      <c r="C492" s="2"/>
      <c r="D492" s="2"/>
      <c r="E492" s="2"/>
      <c r="F492" s="2"/>
      <c r="G492" s="2"/>
    </row>
    <row r="493" spans="3:7" ht="14.25" customHeight="1" x14ac:dyDescent="0.55000000000000004">
      <c r="C493" s="2"/>
      <c r="D493" s="2"/>
      <c r="E493" s="2"/>
      <c r="F493" s="2"/>
      <c r="G493" s="2"/>
    </row>
    <row r="494" spans="3:7" ht="14.25" customHeight="1" x14ac:dyDescent="0.55000000000000004">
      <c r="C494" s="2"/>
      <c r="D494" s="2"/>
      <c r="E494" s="2"/>
      <c r="F494" s="2"/>
      <c r="G494" s="2"/>
    </row>
    <row r="495" spans="3:7" ht="14.25" customHeight="1" x14ac:dyDescent="0.55000000000000004">
      <c r="C495" s="2"/>
      <c r="D495" s="2"/>
      <c r="E495" s="2"/>
      <c r="F495" s="2"/>
      <c r="G495" s="2"/>
    </row>
    <row r="496" spans="3:7" ht="14.25" customHeight="1" x14ac:dyDescent="0.55000000000000004">
      <c r="C496" s="2"/>
      <c r="D496" s="2"/>
      <c r="E496" s="2"/>
      <c r="F496" s="2"/>
      <c r="G496" s="2"/>
    </row>
    <row r="497" spans="3:7" ht="14.25" customHeight="1" x14ac:dyDescent="0.55000000000000004">
      <c r="C497" s="2"/>
      <c r="D497" s="2"/>
      <c r="E497" s="2"/>
      <c r="F497" s="2"/>
      <c r="G497" s="2"/>
    </row>
    <row r="498" spans="3:7" ht="14.25" customHeight="1" x14ac:dyDescent="0.55000000000000004">
      <c r="C498" s="2"/>
      <c r="D498" s="2"/>
      <c r="E498" s="2"/>
      <c r="F498" s="2"/>
      <c r="G498" s="2"/>
    </row>
    <row r="499" spans="3:7" ht="14.25" customHeight="1" x14ac:dyDescent="0.55000000000000004">
      <c r="C499" s="2"/>
      <c r="D499" s="2"/>
      <c r="E499" s="2"/>
      <c r="F499" s="2"/>
      <c r="G499" s="2"/>
    </row>
    <row r="500" spans="3:7" ht="14.25" customHeight="1" x14ac:dyDescent="0.55000000000000004">
      <c r="C500" s="2"/>
      <c r="D500" s="2"/>
      <c r="E500" s="2"/>
      <c r="F500" s="2"/>
      <c r="G500" s="2"/>
    </row>
    <row r="501" spans="3:7" ht="14.25" customHeight="1" x14ac:dyDescent="0.55000000000000004">
      <c r="C501" s="2"/>
      <c r="D501" s="2"/>
      <c r="E501" s="2"/>
      <c r="F501" s="2"/>
      <c r="G501" s="2"/>
    </row>
    <row r="502" spans="3:7" ht="14.25" customHeight="1" x14ac:dyDescent="0.55000000000000004">
      <c r="C502" s="2"/>
      <c r="D502" s="2"/>
      <c r="E502" s="2"/>
      <c r="F502" s="2"/>
      <c r="G502" s="2"/>
    </row>
    <row r="503" spans="3:7" ht="14.25" customHeight="1" x14ac:dyDescent="0.55000000000000004">
      <c r="C503" s="2"/>
      <c r="D503" s="2"/>
      <c r="E503" s="2"/>
      <c r="F503" s="2"/>
      <c r="G503" s="2"/>
    </row>
    <row r="504" spans="3:7" ht="14.25" customHeight="1" x14ac:dyDescent="0.55000000000000004">
      <c r="C504" s="2"/>
      <c r="D504" s="2"/>
      <c r="E504" s="2"/>
      <c r="F504" s="2"/>
      <c r="G504" s="2"/>
    </row>
    <row r="505" spans="3:7" ht="14.25" customHeight="1" x14ac:dyDescent="0.55000000000000004">
      <c r="C505" s="2"/>
      <c r="D505" s="2"/>
      <c r="E505" s="2"/>
      <c r="F505" s="2"/>
      <c r="G505" s="2"/>
    </row>
    <row r="506" spans="3:7" ht="14.25" customHeight="1" x14ac:dyDescent="0.55000000000000004">
      <c r="C506" s="2"/>
      <c r="D506" s="2"/>
      <c r="E506" s="2"/>
      <c r="F506" s="2"/>
      <c r="G506" s="2"/>
    </row>
    <row r="507" spans="3:7" ht="14.25" customHeight="1" x14ac:dyDescent="0.55000000000000004">
      <c r="C507" s="2"/>
      <c r="D507" s="2"/>
      <c r="E507" s="2"/>
      <c r="F507" s="2"/>
      <c r="G507" s="2"/>
    </row>
    <row r="508" spans="3:7" ht="14.25" customHeight="1" x14ac:dyDescent="0.55000000000000004">
      <c r="C508" s="2"/>
      <c r="D508" s="2"/>
      <c r="E508" s="2"/>
      <c r="F508" s="2"/>
      <c r="G508" s="2"/>
    </row>
    <row r="509" spans="3:7" ht="14.25" customHeight="1" x14ac:dyDescent="0.55000000000000004">
      <c r="C509" s="2"/>
      <c r="D509" s="2"/>
      <c r="E509" s="2"/>
      <c r="F509" s="2"/>
      <c r="G509" s="2"/>
    </row>
    <row r="510" spans="3:7" ht="14.25" customHeight="1" x14ac:dyDescent="0.55000000000000004">
      <c r="C510" s="2"/>
      <c r="D510" s="2"/>
      <c r="E510" s="2"/>
      <c r="F510" s="2"/>
      <c r="G510" s="2"/>
    </row>
    <row r="511" spans="3:7" ht="14.25" customHeight="1" x14ac:dyDescent="0.55000000000000004">
      <c r="C511" s="2"/>
      <c r="D511" s="2"/>
      <c r="E511" s="2"/>
      <c r="F511" s="2"/>
      <c r="G511" s="2"/>
    </row>
    <row r="512" spans="3:7" ht="14.25" customHeight="1" x14ac:dyDescent="0.55000000000000004">
      <c r="C512" s="2"/>
      <c r="D512" s="2"/>
      <c r="E512" s="2"/>
      <c r="F512" s="2"/>
      <c r="G512" s="2"/>
    </row>
    <row r="513" spans="3:7" ht="14.25" customHeight="1" x14ac:dyDescent="0.55000000000000004">
      <c r="C513" s="2"/>
      <c r="D513" s="2"/>
      <c r="E513" s="2"/>
      <c r="F513" s="2"/>
      <c r="G513" s="2"/>
    </row>
    <row r="514" spans="3:7" ht="14.25" customHeight="1" x14ac:dyDescent="0.55000000000000004">
      <c r="C514" s="2"/>
      <c r="D514" s="2"/>
      <c r="E514" s="2"/>
      <c r="F514" s="2"/>
      <c r="G514" s="2"/>
    </row>
    <row r="515" spans="3:7" ht="14.25" customHeight="1" x14ac:dyDescent="0.55000000000000004">
      <c r="C515" s="2"/>
      <c r="D515" s="2"/>
      <c r="E515" s="2"/>
      <c r="F515" s="2"/>
      <c r="G515" s="2"/>
    </row>
    <row r="516" spans="3:7" ht="14.25" customHeight="1" x14ac:dyDescent="0.55000000000000004">
      <c r="C516" s="2"/>
      <c r="D516" s="2"/>
      <c r="E516" s="2"/>
      <c r="F516" s="2"/>
      <c r="G516" s="2"/>
    </row>
    <row r="517" spans="3:7" ht="14.25" customHeight="1" x14ac:dyDescent="0.55000000000000004">
      <c r="C517" s="2"/>
      <c r="D517" s="2"/>
      <c r="E517" s="2"/>
      <c r="F517" s="2"/>
      <c r="G517" s="2"/>
    </row>
    <row r="518" spans="3:7" ht="14.25" customHeight="1" x14ac:dyDescent="0.55000000000000004">
      <c r="C518" s="2"/>
      <c r="D518" s="2"/>
      <c r="E518" s="2"/>
      <c r="F518" s="2"/>
      <c r="G518" s="2"/>
    </row>
    <row r="519" spans="3:7" ht="14.25" customHeight="1" x14ac:dyDescent="0.55000000000000004">
      <c r="C519" s="2"/>
      <c r="D519" s="2"/>
      <c r="E519" s="2"/>
      <c r="F519" s="2"/>
      <c r="G519" s="2"/>
    </row>
    <row r="520" spans="3:7" ht="14.25" customHeight="1" x14ac:dyDescent="0.55000000000000004">
      <c r="C520" s="2"/>
      <c r="D520" s="2"/>
      <c r="E520" s="2"/>
      <c r="F520" s="2"/>
      <c r="G520" s="2"/>
    </row>
    <row r="521" spans="3:7" ht="14.25" customHeight="1" x14ac:dyDescent="0.55000000000000004">
      <c r="C521" s="2"/>
      <c r="D521" s="2"/>
      <c r="E521" s="2"/>
      <c r="F521" s="2"/>
      <c r="G521" s="2"/>
    </row>
    <row r="522" spans="3:7" ht="14.25" customHeight="1" x14ac:dyDescent="0.55000000000000004">
      <c r="C522" s="2"/>
      <c r="D522" s="2"/>
      <c r="E522" s="2"/>
      <c r="F522" s="2"/>
      <c r="G522" s="2"/>
    </row>
    <row r="523" spans="3:7" ht="14.25" customHeight="1" x14ac:dyDescent="0.55000000000000004">
      <c r="C523" s="2"/>
      <c r="D523" s="2"/>
      <c r="E523" s="2"/>
      <c r="F523" s="2"/>
      <c r="G523" s="2"/>
    </row>
    <row r="524" spans="3:7" ht="14.25" customHeight="1" x14ac:dyDescent="0.55000000000000004">
      <c r="C524" s="2"/>
      <c r="D524" s="2"/>
      <c r="E524" s="2"/>
      <c r="F524" s="2"/>
      <c r="G524" s="2"/>
    </row>
    <row r="525" spans="3:7" ht="14.25" customHeight="1" x14ac:dyDescent="0.55000000000000004">
      <c r="C525" s="2"/>
      <c r="D525" s="2"/>
      <c r="E525" s="2"/>
      <c r="F525" s="2"/>
      <c r="G525" s="2"/>
    </row>
    <row r="526" spans="3:7" ht="14.25" customHeight="1" x14ac:dyDescent="0.55000000000000004">
      <c r="C526" s="2"/>
      <c r="D526" s="2"/>
      <c r="E526" s="2"/>
      <c r="F526" s="2"/>
      <c r="G526" s="2"/>
    </row>
    <row r="527" spans="3:7" ht="14.25" customHeight="1" x14ac:dyDescent="0.55000000000000004">
      <c r="C527" s="2"/>
      <c r="D527" s="2"/>
      <c r="E527" s="2"/>
      <c r="F527" s="2"/>
      <c r="G527" s="2"/>
    </row>
    <row r="528" spans="3:7" ht="14.25" customHeight="1" x14ac:dyDescent="0.55000000000000004">
      <c r="C528" s="2"/>
      <c r="D528" s="2"/>
      <c r="E528" s="2"/>
      <c r="F528" s="2"/>
      <c r="G528" s="2"/>
    </row>
    <row r="529" spans="3:7" ht="14.25" customHeight="1" x14ac:dyDescent="0.55000000000000004">
      <c r="C529" s="2"/>
      <c r="D529" s="2"/>
      <c r="E529" s="2"/>
      <c r="F529" s="2"/>
      <c r="G529" s="2"/>
    </row>
    <row r="530" spans="3:7" ht="14.25" customHeight="1" x14ac:dyDescent="0.55000000000000004">
      <c r="C530" s="2"/>
      <c r="D530" s="2"/>
      <c r="E530" s="2"/>
      <c r="F530" s="2"/>
      <c r="G530" s="2"/>
    </row>
    <row r="531" spans="3:7" ht="14.25" customHeight="1" x14ac:dyDescent="0.55000000000000004">
      <c r="C531" s="2"/>
      <c r="D531" s="2"/>
      <c r="E531" s="2"/>
      <c r="F531" s="2"/>
      <c r="G531" s="2"/>
    </row>
    <row r="532" spans="3:7" ht="14.25" customHeight="1" x14ac:dyDescent="0.55000000000000004">
      <c r="C532" s="2"/>
      <c r="D532" s="2"/>
      <c r="E532" s="2"/>
      <c r="F532" s="2"/>
      <c r="G532" s="2"/>
    </row>
    <row r="533" spans="3:7" ht="14.25" customHeight="1" x14ac:dyDescent="0.55000000000000004">
      <c r="C533" s="2"/>
      <c r="D533" s="2"/>
      <c r="E533" s="2"/>
      <c r="F533" s="2"/>
      <c r="G533" s="2"/>
    </row>
    <row r="534" spans="3:7" ht="14.25" customHeight="1" x14ac:dyDescent="0.55000000000000004">
      <c r="C534" s="2"/>
      <c r="D534" s="2"/>
      <c r="E534" s="2"/>
      <c r="F534" s="2"/>
      <c r="G534" s="2"/>
    </row>
    <row r="535" spans="3:7" ht="14.25" customHeight="1" x14ac:dyDescent="0.55000000000000004">
      <c r="C535" s="2"/>
      <c r="D535" s="2"/>
      <c r="E535" s="2"/>
      <c r="F535" s="2"/>
      <c r="G535" s="2"/>
    </row>
    <row r="536" spans="3:7" ht="14.25" customHeight="1" x14ac:dyDescent="0.55000000000000004">
      <c r="C536" s="2"/>
      <c r="D536" s="2"/>
      <c r="E536" s="2"/>
      <c r="F536" s="2"/>
      <c r="G536" s="2"/>
    </row>
    <row r="537" spans="3:7" ht="14.25" customHeight="1" x14ac:dyDescent="0.55000000000000004">
      <c r="C537" s="2"/>
      <c r="D537" s="2"/>
      <c r="E537" s="2"/>
      <c r="F537" s="2"/>
      <c r="G537" s="2"/>
    </row>
    <row r="538" spans="3:7" ht="14.25" customHeight="1" x14ac:dyDescent="0.55000000000000004">
      <c r="C538" s="2"/>
      <c r="D538" s="2"/>
      <c r="E538" s="2"/>
      <c r="F538" s="2"/>
      <c r="G538" s="2"/>
    </row>
    <row r="539" spans="3:7" ht="14.25" customHeight="1" x14ac:dyDescent="0.55000000000000004">
      <c r="C539" s="2"/>
      <c r="D539" s="2"/>
      <c r="E539" s="2"/>
      <c r="F539" s="2"/>
      <c r="G539" s="2"/>
    </row>
    <row r="540" spans="3:7" ht="14.25" customHeight="1" x14ac:dyDescent="0.55000000000000004">
      <c r="C540" s="2"/>
      <c r="D540" s="2"/>
      <c r="E540" s="2"/>
      <c r="F540" s="2"/>
      <c r="G540" s="2"/>
    </row>
    <row r="541" spans="3:7" ht="14.25" customHeight="1" x14ac:dyDescent="0.55000000000000004">
      <c r="C541" s="2"/>
      <c r="D541" s="2"/>
      <c r="E541" s="2"/>
      <c r="F541" s="2"/>
      <c r="G541" s="2"/>
    </row>
    <row r="542" spans="3:7" ht="14.25" customHeight="1" x14ac:dyDescent="0.55000000000000004">
      <c r="C542" s="2"/>
      <c r="D542" s="2"/>
      <c r="E542" s="2"/>
      <c r="F542" s="2"/>
      <c r="G542" s="2"/>
    </row>
    <row r="543" spans="3:7" ht="14.25" customHeight="1" x14ac:dyDescent="0.55000000000000004">
      <c r="C543" s="2"/>
      <c r="D543" s="2"/>
      <c r="E543" s="2"/>
      <c r="F543" s="2"/>
      <c r="G543" s="2"/>
    </row>
    <row r="544" spans="3:7" ht="14.25" customHeight="1" x14ac:dyDescent="0.55000000000000004">
      <c r="C544" s="2"/>
      <c r="D544" s="2"/>
      <c r="E544" s="2"/>
      <c r="F544" s="2"/>
      <c r="G544" s="2"/>
    </row>
    <row r="545" spans="3:7" ht="14.25" customHeight="1" x14ac:dyDescent="0.55000000000000004">
      <c r="C545" s="2"/>
      <c r="D545" s="2"/>
      <c r="E545" s="2"/>
      <c r="F545" s="2"/>
      <c r="G545" s="2"/>
    </row>
    <row r="546" spans="3:7" ht="14.25" customHeight="1" x14ac:dyDescent="0.55000000000000004">
      <c r="C546" s="2"/>
      <c r="D546" s="2"/>
      <c r="E546" s="2"/>
      <c r="F546" s="2"/>
      <c r="G546" s="2"/>
    </row>
    <row r="547" spans="3:7" ht="14.25" customHeight="1" x14ac:dyDescent="0.55000000000000004">
      <c r="C547" s="2"/>
      <c r="D547" s="2"/>
      <c r="E547" s="2"/>
      <c r="F547" s="2"/>
      <c r="G547" s="2"/>
    </row>
    <row r="548" spans="3:7" ht="14.25" customHeight="1" x14ac:dyDescent="0.55000000000000004">
      <c r="C548" s="2"/>
      <c r="D548" s="2"/>
      <c r="E548" s="2"/>
      <c r="F548" s="2"/>
      <c r="G548" s="2"/>
    </row>
    <row r="549" spans="3:7" ht="14.25" customHeight="1" x14ac:dyDescent="0.55000000000000004">
      <c r="C549" s="2"/>
      <c r="D549" s="2"/>
      <c r="E549" s="2"/>
      <c r="F549" s="2"/>
      <c r="G549" s="2"/>
    </row>
    <row r="550" spans="3:7" ht="14.25" customHeight="1" x14ac:dyDescent="0.55000000000000004">
      <c r="C550" s="2"/>
      <c r="D550" s="2"/>
      <c r="E550" s="2"/>
      <c r="F550" s="2"/>
      <c r="G550" s="2"/>
    </row>
    <row r="551" spans="3:7" ht="14.25" customHeight="1" x14ac:dyDescent="0.55000000000000004">
      <c r="C551" s="2"/>
      <c r="D551" s="2"/>
      <c r="E551" s="2"/>
      <c r="F551" s="2"/>
      <c r="G551" s="2"/>
    </row>
    <row r="552" spans="3:7" ht="14.25" customHeight="1" x14ac:dyDescent="0.55000000000000004">
      <c r="C552" s="2"/>
      <c r="D552" s="2"/>
      <c r="E552" s="2"/>
      <c r="F552" s="2"/>
      <c r="G552" s="2"/>
    </row>
    <row r="553" spans="3:7" ht="14.25" customHeight="1" x14ac:dyDescent="0.55000000000000004">
      <c r="C553" s="2"/>
      <c r="D553" s="2"/>
      <c r="E553" s="2"/>
      <c r="F553" s="2"/>
      <c r="G553" s="2"/>
    </row>
    <row r="554" spans="3:7" ht="14.25" customHeight="1" x14ac:dyDescent="0.55000000000000004">
      <c r="C554" s="2"/>
      <c r="D554" s="2"/>
      <c r="E554" s="2"/>
      <c r="F554" s="2"/>
      <c r="G554" s="2"/>
    </row>
    <row r="555" spans="3:7" ht="14.25" customHeight="1" x14ac:dyDescent="0.55000000000000004">
      <c r="C555" s="2"/>
      <c r="D555" s="2"/>
      <c r="E555" s="2"/>
      <c r="F555" s="2"/>
      <c r="G555" s="2"/>
    </row>
    <row r="556" spans="3:7" ht="14.25" customHeight="1" x14ac:dyDescent="0.55000000000000004">
      <c r="C556" s="2"/>
      <c r="D556" s="2"/>
      <c r="E556" s="2"/>
      <c r="F556" s="2"/>
      <c r="G556" s="2"/>
    </row>
    <row r="557" spans="3:7" ht="14.25" customHeight="1" x14ac:dyDescent="0.55000000000000004">
      <c r="C557" s="2"/>
      <c r="D557" s="2"/>
      <c r="E557" s="2"/>
      <c r="F557" s="2"/>
      <c r="G557" s="2"/>
    </row>
    <row r="558" spans="3:7" ht="14.25" customHeight="1" x14ac:dyDescent="0.55000000000000004">
      <c r="C558" s="2"/>
      <c r="D558" s="2"/>
      <c r="E558" s="2"/>
      <c r="F558" s="2"/>
      <c r="G558" s="2"/>
    </row>
    <row r="559" spans="3:7" ht="14.25" customHeight="1" x14ac:dyDescent="0.55000000000000004">
      <c r="C559" s="2"/>
      <c r="D559" s="2"/>
      <c r="E559" s="2"/>
      <c r="F559" s="2"/>
      <c r="G559" s="2"/>
    </row>
    <row r="560" spans="3:7" ht="14.25" customHeight="1" x14ac:dyDescent="0.55000000000000004">
      <c r="C560" s="2"/>
      <c r="D560" s="2"/>
      <c r="E560" s="2"/>
      <c r="F560" s="2"/>
      <c r="G560" s="2"/>
    </row>
    <row r="561" spans="3:7" ht="14.25" customHeight="1" x14ac:dyDescent="0.55000000000000004">
      <c r="C561" s="2"/>
      <c r="D561" s="2"/>
      <c r="E561" s="2"/>
      <c r="F561" s="2"/>
      <c r="G561" s="2"/>
    </row>
    <row r="562" spans="3:7" ht="14.25" customHeight="1" x14ac:dyDescent="0.55000000000000004">
      <c r="C562" s="2"/>
      <c r="D562" s="2"/>
      <c r="E562" s="2"/>
      <c r="F562" s="2"/>
      <c r="G562" s="2"/>
    </row>
    <row r="563" spans="3:7" ht="14.25" customHeight="1" x14ac:dyDescent="0.55000000000000004">
      <c r="C563" s="2"/>
      <c r="D563" s="2"/>
      <c r="E563" s="2"/>
      <c r="F563" s="2"/>
      <c r="G563" s="2"/>
    </row>
    <row r="564" spans="3:7" ht="14.25" customHeight="1" x14ac:dyDescent="0.55000000000000004">
      <c r="C564" s="2"/>
      <c r="D564" s="2"/>
      <c r="E564" s="2"/>
      <c r="F564" s="2"/>
      <c r="G564" s="2"/>
    </row>
    <row r="565" spans="3:7" ht="14.25" customHeight="1" x14ac:dyDescent="0.55000000000000004">
      <c r="C565" s="2"/>
      <c r="D565" s="2"/>
      <c r="E565" s="2"/>
      <c r="F565" s="2"/>
      <c r="G565" s="2"/>
    </row>
    <row r="566" spans="3:7" ht="14.25" customHeight="1" x14ac:dyDescent="0.55000000000000004">
      <c r="C566" s="2"/>
      <c r="D566" s="2"/>
      <c r="E566" s="2"/>
      <c r="F566" s="2"/>
      <c r="G566" s="2"/>
    </row>
    <row r="567" spans="3:7" ht="14.25" customHeight="1" x14ac:dyDescent="0.55000000000000004">
      <c r="C567" s="2"/>
      <c r="D567" s="2"/>
      <c r="E567" s="2"/>
      <c r="F567" s="2"/>
      <c r="G567" s="2"/>
    </row>
    <row r="568" spans="3:7" ht="14.25" customHeight="1" x14ac:dyDescent="0.55000000000000004">
      <c r="C568" s="2"/>
      <c r="D568" s="2"/>
      <c r="E568" s="2"/>
      <c r="F568" s="2"/>
      <c r="G568" s="2"/>
    </row>
    <row r="569" spans="3:7" ht="14.25" customHeight="1" x14ac:dyDescent="0.55000000000000004">
      <c r="C569" s="2"/>
      <c r="D569" s="2"/>
      <c r="E569" s="2"/>
      <c r="F569" s="2"/>
      <c r="G569" s="2"/>
    </row>
    <row r="570" spans="3:7" ht="14.25" customHeight="1" x14ac:dyDescent="0.55000000000000004">
      <c r="C570" s="2"/>
      <c r="D570" s="2"/>
      <c r="E570" s="2"/>
      <c r="F570" s="2"/>
      <c r="G570" s="2"/>
    </row>
    <row r="571" spans="3:7" ht="14.25" customHeight="1" x14ac:dyDescent="0.55000000000000004">
      <c r="C571" s="2"/>
      <c r="D571" s="2"/>
      <c r="E571" s="2"/>
      <c r="F571" s="2"/>
      <c r="G571" s="2"/>
    </row>
    <row r="572" spans="3:7" ht="14.25" customHeight="1" x14ac:dyDescent="0.55000000000000004">
      <c r="C572" s="2"/>
      <c r="D572" s="2"/>
      <c r="E572" s="2"/>
      <c r="F572" s="2"/>
      <c r="G572" s="2"/>
    </row>
    <row r="573" spans="3:7" ht="14.25" customHeight="1" x14ac:dyDescent="0.55000000000000004">
      <c r="C573" s="2"/>
      <c r="D573" s="2"/>
      <c r="E573" s="2"/>
      <c r="F573" s="2"/>
      <c r="G573" s="2"/>
    </row>
    <row r="574" spans="3:7" ht="14.25" customHeight="1" x14ac:dyDescent="0.55000000000000004">
      <c r="C574" s="2"/>
      <c r="D574" s="2"/>
      <c r="E574" s="2"/>
      <c r="F574" s="2"/>
      <c r="G574" s="2"/>
    </row>
    <row r="575" spans="3:7" ht="14.25" customHeight="1" x14ac:dyDescent="0.55000000000000004">
      <c r="C575" s="2"/>
      <c r="D575" s="2"/>
      <c r="E575" s="2"/>
      <c r="F575" s="2"/>
      <c r="G575" s="2"/>
    </row>
    <row r="576" spans="3:7" ht="14.25" customHeight="1" x14ac:dyDescent="0.55000000000000004">
      <c r="C576" s="2"/>
      <c r="D576" s="2"/>
      <c r="E576" s="2"/>
      <c r="F576" s="2"/>
      <c r="G576" s="2"/>
    </row>
    <row r="577" spans="3:7" ht="14.25" customHeight="1" x14ac:dyDescent="0.55000000000000004">
      <c r="C577" s="2"/>
      <c r="D577" s="2"/>
      <c r="E577" s="2"/>
      <c r="F577" s="2"/>
      <c r="G577" s="2"/>
    </row>
    <row r="578" spans="3:7" ht="14.25" customHeight="1" x14ac:dyDescent="0.55000000000000004">
      <c r="C578" s="2"/>
      <c r="D578" s="2"/>
      <c r="E578" s="2"/>
      <c r="F578" s="2"/>
      <c r="G578" s="2"/>
    </row>
    <row r="579" spans="3:7" ht="14.25" customHeight="1" x14ac:dyDescent="0.55000000000000004">
      <c r="C579" s="2"/>
      <c r="D579" s="2"/>
      <c r="E579" s="2"/>
      <c r="F579" s="2"/>
      <c r="G579" s="2"/>
    </row>
    <row r="580" spans="3:7" ht="14.25" customHeight="1" x14ac:dyDescent="0.55000000000000004">
      <c r="C580" s="2"/>
      <c r="D580" s="2"/>
      <c r="E580" s="2"/>
      <c r="F580" s="2"/>
      <c r="G580" s="2"/>
    </row>
    <row r="581" spans="3:7" ht="14.25" customHeight="1" x14ac:dyDescent="0.55000000000000004">
      <c r="C581" s="2"/>
      <c r="D581" s="2"/>
      <c r="E581" s="2"/>
      <c r="F581" s="2"/>
      <c r="G581" s="2"/>
    </row>
    <row r="582" spans="3:7" ht="14.25" customHeight="1" x14ac:dyDescent="0.55000000000000004">
      <c r="C582" s="2"/>
      <c r="D582" s="2"/>
      <c r="E582" s="2"/>
      <c r="F582" s="2"/>
      <c r="G582" s="2"/>
    </row>
    <row r="583" spans="3:7" ht="14.25" customHeight="1" x14ac:dyDescent="0.55000000000000004">
      <c r="C583" s="2"/>
      <c r="D583" s="2"/>
      <c r="E583" s="2"/>
      <c r="F583" s="2"/>
      <c r="G583" s="2"/>
    </row>
    <row r="584" spans="3:7" ht="14.25" customHeight="1" x14ac:dyDescent="0.55000000000000004">
      <c r="C584" s="2"/>
      <c r="D584" s="2"/>
      <c r="E584" s="2"/>
      <c r="F584" s="2"/>
      <c r="G584" s="2"/>
    </row>
    <row r="585" spans="3:7" ht="14.25" customHeight="1" x14ac:dyDescent="0.55000000000000004">
      <c r="C585" s="2"/>
      <c r="D585" s="2"/>
      <c r="E585" s="2"/>
      <c r="F585" s="2"/>
      <c r="G585" s="2"/>
    </row>
    <row r="586" spans="3:7" ht="14.25" customHeight="1" x14ac:dyDescent="0.55000000000000004">
      <c r="C586" s="2"/>
      <c r="D586" s="2"/>
      <c r="E586" s="2"/>
      <c r="F586" s="2"/>
      <c r="G586" s="2"/>
    </row>
    <row r="587" spans="3:7" ht="14.25" customHeight="1" x14ac:dyDescent="0.55000000000000004">
      <c r="C587" s="2"/>
      <c r="D587" s="2"/>
      <c r="E587" s="2"/>
      <c r="F587" s="2"/>
      <c r="G587" s="2"/>
    </row>
    <row r="588" spans="3:7" ht="14.25" customHeight="1" x14ac:dyDescent="0.55000000000000004">
      <c r="C588" s="2"/>
      <c r="D588" s="2"/>
      <c r="E588" s="2"/>
      <c r="F588" s="2"/>
      <c r="G588" s="2"/>
    </row>
    <row r="589" spans="3:7" ht="14.25" customHeight="1" x14ac:dyDescent="0.55000000000000004">
      <c r="C589" s="2"/>
      <c r="D589" s="2"/>
      <c r="E589" s="2"/>
      <c r="F589" s="2"/>
      <c r="G589" s="2"/>
    </row>
    <row r="590" spans="3:7" ht="14.25" customHeight="1" x14ac:dyDescent="0.55000000000000004">
      <c r="C590" s="2"/>
      <c r="D590" s="2"/>
      <c r="E590" s="2"/>
      <c r="F590" s="2"/>
      <c r="G590" s="2"/>
    </row>
    <row r="591" spans="3:7" ht="14.25" customHeight="1" x14ac:dyDescent="0.55000000000000004">
      <c r="C591" s="2"/>
      <c r="D591" s="2"/>
      <c r="E591" s="2"/>
      <c r="F591" s="2"/>
      <c r="G591" s="2"/>
    </row>
    <row r="592" spans="3:7" ht="14.25" customHeight="1" x14ac:dyDescent="0.55000000000000004">
      <c r="C592" s="2"/>
      <c r="D592" s="2"/>
      <c r="E592" s="2"/>
      <c r="F592" s="2"/>
      <c r="G592" s="2"/>
    </row>
    <row r="593" spans="3:7" ht="14.25" customHeight="1" x14ac:dyDescent="0.55000000000000004">
      <c r="C593" s="2"/>
      <c r="D593" s="2"/>
      <c r="E593" s="2"/>
      <c r="F593" s="2"/>
      <c r="G593" s="2"/>
    </row>
    <row r="594" spans="3:7" ht="14.25" customHeight="1" x14ac:dyDescent="0.55000000000000004">
      <c r="C594" s="2"/>
      <c r="D594" s="2"/>
      <c r="E594" s="2"/>
      <c r="F594" s="2"/>
      <c r="G594" s="2"/>
    </row>
    <row r="595" spans="3:7" ht="14.25" customHeight="1" x14ac:dyDescent="0.55000000000000004">
      <c r="C595" s="2"/>
      <c r="D595" s="2"/>
      <c r="E595" s="2"/>
      <c r="F595" s="2"/>
      <c r="G595" s="2"/>
    </row>
    <row r="596" spans="3:7" ht="14.25" customHeight="1" x14ac:dyDescent="0.55000000000000004">
      <c r="C596" s="2"/>
      <c r="D596" s="2"/>
      <c r="E596" s="2"/>
      <c r="F596" s="2"/>
      <c r="G596" s="2"/>
    </row>
    <row r="597" spans="3:7" ht="14.25" customHeight="1" x14ac:dyDescent="0.55000000000000004">
      <c r="C597" s="2"/>
      <c r="D597" s="2"/>
      <c r="E597" s="2"/>
      <c r="F597" s="2"/>
      <c r="G597" s="2"/>
    </row>
    <row r="598" spans="3:7" ht="14.25" customHeight="1" x14ac:dyDescent="0.55000000000000004">
      <c r="C598" s="2"/>
      <c r="D598" s="2"/>
      <c r="E598" s="2"/>
      <c r="F598" s="2"/>
      <c r="G598" s="2"/>
    </row>
    <row r="599" spans="3:7" ht="14.25" customHeight="1" x14ac:dyDescent="0.55000000000000004">
      <c r="C599" s="2"/>
      <c r="D599" s="2"/>
      <c r="E599" s="2"/>
      <c r="F599" s="2"/>
      <c r="G599" s="2"/>
    </row>
    <row r="600" spans="3:7" ht="14.25" customHeight="1" x14ac:dyDescent="0.55000000000000004">
      <c r="C600" s="2"/>
      <c r="D600" s="2"/>
      <c r="E600" s="2"/>
      <c r="F600" s="2"/>
      <c r="G600" s="2"/>
    </row>
    <row r="601" spans="3:7" ht="14.25" customHeight="1" x14ac:dyDescent="0.55000000000000004">
      <c r="C601" s="2"/>
      <c r="D601" s="2"/>
      <c r="E601" s="2"/>
      <c r="F601" s="2"/>
      <c r="G601" s="2"/>
    </row>
    <row r="602" spans="3:7" ht="14.25" customHeight="1" x14ac:dyDescent="0.55000000000000004">
      <c r="C602" s="2"/>
      <c r="D602" s="2"/>
      <c r="E602" s="2"/>
      <c r="F602" s="2"/>
      <c r="G602" s="2"/>
    </row>
    <row r="603" spans="3:7" ht="14.25" customHeight="1" x14ac:dyDescent="0.55000000000000004">
      <c r="C603" s="2"/>
      <c r="D603" s="2"/>
      <c r="E603" s="2"/>
      <c r="F603" s="2"/>
      <c r="G603" s="2"/>
    </row>
    <row r="604" spans="3:7" ht="14.25" customHeight="1" x14ac:dyDescent="0.55000000000000004">
      <c r="C604" s="2"/>
      <c r="D604" s="2"/>
      <c r="E604" s="2"/>
      <c r="F604" s="2"/>
      <c r="G604" s="2"/>
    </row>
    <row r="605" spans="3:7" ht="14.25" customHeight="1" x14ac:dyDescent="0.55000000000000004">
      <c r="C605" s="2"/>
      <c r="D605" s="2"/>
      <c r="E605" s="2"/>
      <c r="F605" s="2"/>
      <c r="G605" s="2"/>
    </row>
    <row r="606" spans="3:7" ht="14.25" customHeight="1" x14ac:dyDescent="0.55000000000000004">
      <c r="C606" s="2"/>
      <c r="D606" s="2"/>
      <c r="E606" s="2"/>
      <c r="F606" s="2"/>
      <c r="G606" s="2"/>
    </row>
    <row r="607" spans="3:7" ht="14.25" customHeight="1" x14ac:dyDescent="0.55000000000000004">
      <c r="C607" s="2"/>
      <c r="D607" s="2"/>
      <c r="E607" s="2"/>
      <c r="F607" s="2"/>
      <c r="G607" s="2"/>
    </row>
    <row r="608" spans="3:7" ht="14.25" customHeight="1" x14ac:dyDescent="0.55000000000000004">
      <c r="C608" s="2"/>
      <c r="D608" s="2"/>
      <c r="E608" s="2"/>
      <c r="F608" s="2"/>
      <c r="G608" s="2"/>
    </row>
    <row r="609" spans="3:7" ht="14.25" customHeight="1" x14ac:dyDescent="0.55000000000000004">
      <c r="C609" s="2"/>
      <c r="D609" s="2"/>
      <c r="E609" s="2"/>
      <c r="F609" s="2"/>
      <c r="G609" s="2"/>
    </row>
    <row r="610" spans="3:7" ht="14.25" customHeight="1" x14ac:dyDescent="0.55000000000000004">
      <c r="C610" s="2"/>
      <c r="D610" s="2"/>
      <c r="E610" s="2"/>
      <c r="F610" s="2"/>
      <c r="G610" s="2"/>
    </row>
    <row r="611" spans="3:7" ht="14.25" customHeight="1" x14ac:dyDescent="0.55000000000000004">
      <c r="C611" s="2"/>
      <c r="D611" s="2"/>
      <c r="E611" s="2"/>
      <c r="F611" s="2"/>
      <c r="G611" s="2"/>
    </row>
    <row r="612" spans="3:7" ht="14.25" customHeight="1" x14ac:dyDescent="0.55000000000000004">
      <c r="C612" s="2"/>
      <c r="D612" s="2"/>
      <c r="E612" s="2"/>
      <c r="F612" s="2"/>
      <c r="G612" s="2"/>
    </row>
    <row r="613" spans="3:7" ht="14.25" customHeight="1" x14ac:dyDescent="0.55000000000000004">
      <c r="C613" s="2"/>
      <c r="D613" s="2"/>
      <c r="E613" s="2"/>
      <c r="F613" s="2"/>
      <c r="G613" s="2"/>
    </row>
    <row r="614" spans="3:7" ht="14.25" customHeight="1" x14ac:dyDescent="0.55000000000000004">
      <c r="C614" s="2"/>
      <c r="D614" s="2"/>
      <c r="E614" s="2"/>
      <c r="F614" s="2"/>
      <c r="G614" s="2"/>
    </row>
    <row r="615" spans="3:7" ht="14.25" customHeight="1" x14ac:dyDescent="0.55000000000000004">
      <c r="C615" s="2"/>
      <c r="D615" s="2"/>
      <c r="E615" s="2"/>
      <c r="F615" s="2"/>
      <c r="G615" s="2"/>
    </row>
    <row r="616" spans="3:7" ht="14.25" customHeight="1" x14ac:dyDescent="0.55000000000000004">
      <c r="C616" s="2"/>
      <c r="D616" s="2"/>
      <c r="E616" s="2"/>
      <c r="F616" s="2"/>
      <c r="G616" s="2"/>
    </row>
    <row r="617" spans="3:7" ht="14.25" customHeight="1" x14ac:dyDescent="0.55000000000000004">
      <c r="C617" s="2"/>
      <c r="D617" s="2"/>
      <c r="E617" s="2"/>
      <c r="F617" s="2"/>
      <c r="G617" s="2"/>
    </row>
    <row r="618" spans="3:7" ht="14.25" customHeight="1" x14ac:dyDescent="0.55000000000000004">
      <c r="C618" s="2"/>
      <c r="D618" s="2"/>
      <c r="E618" s="2"/>
      <c r="F618" s="2"/>
      <c r="G618" s="2"/>
    </row>
    <row r="619" spans="3:7" ht="14.25" customHeight="1" x14ac:dyDescent="0.55000000000000004">
      <c r="C619" s="2"/>
      <c r="D619" s="2"/>
      <c r="E619" s="2"/>
      <c r="F619" s="2"/>
      <c r="G619" s="2"/>
    </row>
    <row r="620" spans="3:7" ht="14.25" customHeight="1" x14ac:dyDescent="0.55000000000000004">
      <c r="C620" s="2"/>
      <c r="D620" s="2"/>
      <c r="E620" s="2"/>
      <c r="F620" s="2"/>
      <c r="G620" s="2"/>
    </row>
    <row r="621" spans="3:7" ht="14.25" customHeight="1" x14ac:dyDescent="0.55000000000000004">
      <c r="C621" s="2"/>
      <c r="D621" s="2"/>
      <c r="E621" s="2"/>
      <c r="F621" s="2"/>
      <c r="G621" s="2"/>
    </row>
    <row r="622" spans="3:7" ht="14.25" customHeight="1" x14ac:dyDescent="0.55000000000000004">
      <c r="C622" s="2"/>
      <c r="D622" s="2"/>
      <c r="E622" s="2"/>
      <c r="F622" s="2"/>
      <c r="G622" s="2"/>
    </row>
    <row r="623" spans="3:7" ht="14.25" customHeight="1" x14ac:dyDescent="0.55000000000000004">
      <c r="C623" s="2"/>
      <c r="D623" s="2"/>
      <c r="E623" s="2"/>
      <c r="F623" s="2"/>
      <c r="G623" s="2"/>
    </row>
    <row r="624" spans="3:7" ht="14.25" customHeight="1" x14ac:dyDescent="0.55000000000000004">
      <c r="C624" s="2"/>
      <c r="D624" s="2"/>
      <c r="E624" s="2"/>
      <c r="F624" s="2"/>
      <c r="G624" s="2"/>
    </row>
    <row r="625" spans="3:7" ht="14.25" customHeight="1" x14ac:dyDescent="0.55000000000000004">
      <c r="C625" s="2"/>
      <c r="D625" s="2"/>
      <c r="E625" s="2"/>
      <c r="F625" s="2"/>
      <c r="G625" s="2"/>
    </row>
    <row r="626" spans="3:7" ht="14.25" customHeight="1" x14ac:dyDescent="0.55000000000000004">
      <c r="C626" s="2"/>
      <c r="D626" s="2"/>
      <c r="E626" s="2"/>
      <c r="F626" s="2"/>
      <c r="G626" s="2"/>
    </row>
    <row r="627" spans="3:7" ht="14.25" customHeight="1" x14ac:dyDescent="0.55000000000000004">
      <c r="C627" s="2"/>
      <c r="D627" s="2"/>
      <c r="E627" s="2"/>
      <c r="F627" s="2"/>
      <c r="G627" s="2"/>
    </row>
    <row r="628" spans="3:7" ht="14.25" customHeight="1" x14ac:dyDescent="0.55000000000000004">
      <c r="C628" s="2"/>
      <c r="D628" s="2"/>
      <c r="E628" s="2"/>
      <c r="F628" s="2"/>
      <c r="G628" s="2"/>
    </row>
    <row r="629" spans="3:7" ht="14.25" customHeight="1" x14ac:dyDescent="0.55000000000000004">
      <c r="C629" s="2"/>
      <c r="D629" s="2"/>
      <c r="E629" s="2"/>
      <c r="F629" s="2"/>
      <c r="G629" s="2"/>
    </row>
    <row r="630" spans="3:7" ht="14.25" customHeight="1" x14ac:dyDescent="0.55000000000000004">
      <c r="C630" s="2"/>
      <c r="D630" s="2"/>
      <c r="E630" s="2"/>
      <c r="F630" s="2"/>
      <c r="G630" s="2"/>
    </row>
    <row r="631" spans="3:7" ht="14.25" customHeight="1" x14ac:dyDescent="0.55000000000000004">
      <c r="C631" s="2"/>
      <c r="D631" s="2"/>
      <c r="E631" s="2"/>
      <c r="F631" s="2"/>
      <c r="G631" s="2"/>
    </row>
    <row r="632" spans="3:7" ht="14.25" customHeight="1" x14ac:dyDescent="0.55000000000000004">
      <c r="C632" s="2"/>
      <c r="D632" s="2"/>
      <c r="E632" s="2"/>
      <c r="F632" s="2"/>
      <c r="G632" s="2"/>
    </row>
    <row r="633" spans="3:7" ht="14.25" customHeight="1" x14ac:dyDescent="0.55000000000000004">
      <c r="C633" s="2"/>
      <c r="D633" s="2"/>
      <c r="E633" s="2"/>
      <c r="F633" s="2"/>
      <c r="G633" s="2"/>
    </row>
    <row r="634" spans="3:7" ht="14.25" customHeight="1" x14ac:dyDescent="0.55000000000000004">
      <c r="C634" s="2"/>
      <c r="D634" s="2"/>
      <c r="E634" s="2"/>
      <c r="F634" s="2"/>
      <c r="G634" s="2"/>
    </row>
    <row r="635" spans="3:7" ht="14.25" customHeight="1" x14ac:dyDescent="0.55000000000000004">
      <c r="C635" s="2"/>
      <c r="D635" s="2"/>
      <c r="E635" s="2"/>
      <c r="F635" s="2"/>
      <c r="G635" s="2"/>
    </row>
    <row r="636" spans="3:7" ht="14.25" customHeight="1" x14ac:dyDescent="0.55000000000000004">
      <c r="C636" s="2"/>
      <c r="D636" s="2"/>
      <c r="E636" s="2"/>
      <c r="F636" s="2"/>
      <c r="G636" s="2"/>
    </row>
    <row r="637" spans="3:7" ht="14.25" customHeight="1" x14ac:dyDescent="0.55000000000000004">
      <c r="C637" s="2"/>
      <c r="D637" s="2"/>
      <c r="E637" s="2"/>
      <c r="F637" s="2"/>
      <c r="G637" s="2"/>
    </row>
    <row r="638" spans="3:7" ht="14.25" customHeight="1" x14ac:dyDescent="0.55000000000000004">
      <c r="C638" s="2"/>
      <c r="D638" s="2"/>
      <c r="E638" s="2"/>
      <c r="F638" s="2"/>
      <c r="G638" s="2"/>
    </row>
    <row r="639" spans="3:7" ht="14.25" customHeight="1" x14ac:dyDescent="0.55000000000000004">
      <c r="C639" s="2"/>
      <c r="D639" s="2"/>
      <c r="E639" s="2"/>
      <c r="F639" s="2"/>
      <c r="G639" s="2"/>
    </row>
    <row r="640" spans="3:7" ht="14.25" customHeight="1" x14ac:dyDescent="0.55000000000000004">
      <c r="C640" s="2"/>
      <c r="D640" s="2"/>
      <c r="E640" s="2"/>
      <c r="F640" s="2"/>
      <c r="G640" s="2"/>
    </row>
    <row r="641" spans="3:7" ht="14.25" customHeight="1" x14ac:dyDescent="0.55000000000000004">
      <c r="C641" s="2"/>
      <c r="D641" s="2"/>
      <c r="E641" s="2"/>
      <c r="F641" s="2"/>
      <c r="G641" s="2"/>
    </row>
    <row r="642" spans="3:7" ht="14.25" customHeight="1" x14ac:dyDescent="0.55000000000000004">
      <c r="C642" s="2"/>
      <c r="D642" s="2"/>
      <c r="E642" s="2"/>
      <c r="F642" s="2"/>
      <c r="G642" s="2"/>
    </row>
    <row r="643" spans="3:7" ht="14.25" customHeight="1" x14ac:dyDescent="0.55000000000000004">
      <c r="C643" s="2"/>
      <c r="D643" s="2"/>
      <c r="E643" s="2"/>
      <c r="F643" s="2"/>
      <c r="G643" s="2"/>
    </row>
    <row r="644" spans="3:7" ht="14.25" customHeight="1" x14ac:dyDescent="0.55000000000000004">
      <c r="C644" s="2"/>
      <c r="D644" s="2"/>
      <c r="E644" s="2"/>
      <c r="F644" s="2"/>
      <c r="G644" s="2"/>
    </row>
    <row r="645" spans="3:7" ht="14.25" customHeight="1" x14ac:dyDescent="0.55000000000000004">
      <c r="C645" s="2"/>
      <c r="D645" s="2"/>
      <c r="E645" s="2"/>
      <c r="F645" s="2"/>
      <c r="G645" s="2"/>
    </row>
    <row r="646" spans="3:7" ht="14.25" customHeight="1" x14ac:dyDescent="0.55000000000000004">
      <c r="C646" s="2"/>
      <c r="D646" s="2"/>
      <c r="E646" s="2"/>
      <c r="F646" s="2"/>
      <c r="G646" s="2"/>
    </row>
    <row r="647" spans="3:7" ht="14.25" customHeight="1" x14ac:dyDescent="0.55000000000000004">
      <c r="C647" s="2"/>
      <c r="D647" s="2"/>
      <c r="E647" s="2"/>
      <c r="F647" s="2"/>
      <c r="G647" s="2"/>
    </row>
    <row r="648" spans="3:7" ht="14.25" customHeight="1" x14ac:dyDescent="0.55000000000000004">
      <c r="C648" s="2"/>
      <c r="D648" s="2"/>
      <c r="E648" s="2"/>
      <c r="F648" s="2"/>
      <c r="G648" s="2"/>
    </row>
    <row r="649" spans="3:7" ht="14.25" customHeight="1" x14ac:dyDescent="0.55000000000000004">
      <c r="C649" s="2"/>
      <c r="D649" s="2"/>
      <c r="E649" s="2"/>
      <c r="F649" s="2"/>
      <c r="G649" s="2"/>
    </row>
    <row r="650" spans="3:7" ht="14.25" customHeight="1" x14ac:dyDescent="0.55000000000000004">
      <c r="C650" s="2"/>
      <c r="D650" s="2"/>
      <c r="E650" s="2"/>
      <c r="F650" s="2"/>
      <c r="G650" s="2"/>
    </row>
    <row r="651" spans="3:7" ht="14.25" customHeight="1" x14ac:dyDescent="0.55000000000000004">
      <c r="C651" s="2"/>
      <c r="D651" s="2"/>
      <c r="E651" s="2"/>
      <c r="F651" s="2"/>
      <c r="G651" s="2"/>
    </row>
    <row r="652" spans="3:7" ht="14.25" customHeight="1" x14ac:dyDescent="0.55000000000000004">
      <c r="C652" s="2"/>
      <c r="D652" s="2"/>
      <c r="E652" s="2"/>
      <c r="F652" s="2"/>
      <c r="G652" s="2"/>
    </row>
    <row r="653" spans="3:7" ht="14.25" customHeight="1" x14ac:dyDescent="0.55000000000000004">
      <c r="C653" s="2"/>
      <c r="D653" s="2"/>
      <c r="E653" s="2"/>
      <c r="F653" s="2"/>
      <c r="G653" s="2"/>
    </row>
    <row r="654" spans="3:7" ht="14.25" customHeight="1" x14ac:dyDescent="0.55000000000000004">
      <c r="C654" s="2"/>
      <c r="D654" s="2"/>
      <c r="E654" s="2"/>
      <c r="F654" s="2"/>
      <c r="G654" s="2"/>
    </row>
    <row r="655" spans="3:7" ht="14.25" customHeight="1" x14ac:dyDescent="0.55000000000000004">
      <c r="C655" s="2"/>
      <c r="D655" s="2"/>
      <c r="E655" s="2"/>
      <c r="F655" s="2"/>
      <c r="G655" s="2"/>
    </row>
    <row r="656" spans="3:7" ht="14.25" customHeight="1" x14ac:dyDescent="0.55000000000000004">
      <c r="C656" s="2"/>
      <c r="D656" s="2"/>
      <c r="E656" s="2"/>
      <c r="F656" s="2"/>
      <c r="G656" s="2"/>
    </row>
    <row r="657" spans="3:7" ht="14.25" customHeight="1" x14ac:dyDescent="0.55000000000000004">
      <c r="C657" s="2"/>
      <c r="D657" s="2"/>
      <c r="E657" s="2"/>
      <c r="F657" s="2"/>
      <c r="G657" s="2"/>
    </row>
    <row r="658" spans="3:7" ht="14.25" customHeight="1" x14ac:dyDescent="0.55000000000000004">
      <c r="C658" s="2"/>
      <c r="D658" s="2"/>
      <c r="E658" s="2"/>
      <c r="F658" s="2"/>
      <c r="G658" s="2"/>
    </row>
    <row r="659" spans="3:7" ht="14.25" customHeight="1" x14ac:dyDescent="0.55000000000000004">
      <c r="C659" s="2"/>
      <c r="D659" s="2"/>
      <c r="E659" s="2"/>
      <c r="F659" s="2"/>
      <c r="G659" s="2"/>
    </row>
    <row r="660" spans="3:7" ht="14.25" customHeight="1" x14ac:dyDescent="0.55000000000000004">
      <c r="C660" s="2"/>
      <c r="D660" s="2"/>
      <c r="E660" s="2"/>
      <c r="F660" s="2"/>
      <c r="G660" s="2"/>
    </row>
    <row r="661" spans="3:7" ht="14.25" customHeight="1" x14ac:dyDescent="0.55000000000000004">
      <c r="C661" s="2"/>
      <c r="D661" s="2"/>
      <c r="E661" s="2"/>
      <c r="F661" s="2"/>
      <c r="G661" s="2"/>
    </row>
    <row r="662" spans="3:7" ht="14.25" customHeight="1" x14ac:dyDescent="0.55000000000000004">
      <c r="C662" s="2"/>
      <c r="D662" s="2"/>
      <c r="E662" s="2"/>
      <c r="F662" s="2"/>
      <c r="G662" s="2"/>
    </row>
    <row r="663" spans="3:7" ht="14.25" customHeight="1" x14ac:dyDescent="0.55000000000000004">
      <c r="C663" s="2"/>
      <c r="D663" s="2"/>
      <c r="E663" s="2"/>
      <c r="F663" s="2"/>
      <c r="G663" s="2"/>
    </row>
    <row r="664" spans="3:7" ht="14.25" customHeight="1" x14ac:dyDescent="0.55000000000000004">
      <c r="C664" s="2"/>
      <c r="D664" s="2"/>
      <c r="E664" s="2"/>
      <c r="F664" s="2"/>
      <c r="G664" s="2"/>
    </row>
    <row r="665" spans="3:7" ht="14.25" customHeight="1" x14ac:dyDescent="0.55000000000000004">
      <c r="C665" s="2"/>
      <c r="D665" s="2"/>
      <c r="E665" s="2"/>
      <c r="F665" s="2"/>
      <c r="G665" s="2"/>
    </row>
    <row r="666" spans="3:7" ht="14.25" customHeight="1" x14ac:dyDescent="0.55000000000000004">
      <c r="C666" s="2"/>
      <c r="D666" s="2"/>
      <c r="E666" s="2"/>
      <c r="F666" s="2"/>
      <c r="G666" s="2"/>
    </row>
    <row r="667" spans="3:7" ht="14.25" customHeight="1" x14ac:dyDescent="0.55000000000000004">
      <c r="C667" s="2"/>
      <c r="D667" s="2"/>
      <c r="E667" s="2"/>
      <c r="F667" s="2"/>
      <c r="G667" s="2"/>
    </row>
    <row r="668" spans="3:7" ht="14.25" customHeight="1" x14ac:dyDescent="0.55000000000000004">
      <c r="C668" s="2"/>
      <c r="D668" s="2"/>
      <c r="E668" s="2"/>
      <c r="F668" s="2"/>
      <c r="G668" s="2"/>
    </row>
    <row r="669" spans="3:7" ht="14.25" customHeight="1" x14ac:dyDescent="0.55000000000000004">
      <c r="C669" s="2"/>
      <c r="D669" s="2"/>
      <c r="E669" s="2"/>
      <c r="F669" s="2"/>
      <c r="G669" s="2"/>
    </row>
    <row r="670" spans="3:7" ht="14.25" customHeight="1" x14ac:dyDescent="0.55000000000000004">
      <c r="C670" s="2"/>
      <c r="D670" s="2"/>
      <c r="E670" s="2"/>
      <c r="F670" s="2"/>
      <c r="G670" s="2"/>
    </row>
    <row r="671" spans="3:7" ht="14.25" customHeight="1" x14ac:dyDescent="0.55000000000000004">
      <c r="C671" s="2"/>
      <c r="D671" s="2"/>
      <c r="E671" s="2"/>
      <c r="F671" s="2"/>
      <c r="G671" s="2"/>
    </row>
    <row r="672" spans="3:7" ht="14.25" customHeight="1" x14ac:dyDescent="0.55000000000000004">
      <c r="C672" s="2"/>
      <c r="D672" s="2"/>
      <c r="E672" s="2"/>
      <c r="F672" s="2"/>
      <c r="G672" s="2"/>
    </row>
    <row r="673" spans="3:7" ht="14.25" customHeight="1" x14ac:dyDescent="0.55000000000000004">
      <c r="C673" s="2"/>
      <c r="D673" s="2"/>
      <c r="E673" s="2"/>
      <c r="F673" s="2"/>
      <c r="G673" s="2"/>
    </row>
    <row r="674" spans="3:7" ht="14.25" customHeight="1" x14ac:dyDescent="0.55000000000000004">
      <c r="C674" s="2"/>
      <c r="D674" s="2"/>
      <c r="E674" s="2"/>
      <c r="F674" s="2"/>
      <c r="G674" s="2"/>
    </row>
    <row r="675" spans="3:7" ht="14.25" customHeight="1" x14ac:dyDescent="0.55000000000000004">
      <c r="C675" s="2"/>
      <c r="D675" s="2"/>
      <c r="E675" s="2"/>
      <c r="F675" s="2"/>
      <c r="G675" s="2"/>
    </row>
    <row r="676" spans="3:7" ht="14.25" customHeight="1" x14ac:dyDescent="0.55000000000000004">
      <c r="C676" s="2"/>
      <c r="D676" s="2"/>
      <c r="E676" s="2"/>
      <c r="F676" s="2"/>
      <c r="G676" s="2"/>
    </row>
    <row r="677" spans="3:7" ht="14.25" customHeight="1" x14ac:dyDescent="0.55000000000000004">
      <c r="C677" s="2"/>
      <c r="D677" s="2"/>
      <c r="E677" s="2"/>
      <c r="F677" s="2"/>
      <c r="G677" s="2"/>
    </row>
    <row r="678" spans="3:7" ht="14.25" customHeight="1" x14ac:dyDescent="0.55000000000000004">
      <c r="C678" s="2"/>
      <c r="D678" s="2"/>
      <c r="E678" s="2"/>
      <c r="F678" s="2"/>
      <c r="G678" s="2"/>
    </row>
    <row r="679" spans="3:7" ht="14.25" customHeight="1" x14ac:dyDescent="0.55000000000000004">
      <c r="C679" s="2"/>
      <c r="D679" s="2"/>
      <c r="E679" s="2"/>
      <c r="F679" s="2"/>
      <c r="G679" s="2"/>
    </row>
    <row r="680" spans="3:7" ht="14.25" customHeight="1" x14ac:dyDescent="0.55000000000000004">
      <c r="C680" s="2"/>
      <c r="D680" s="2"/>
      <c r="E680" s="2"/>
      <c r="F680" s="2"/>
      <c r="G680" s="2"/>
    </row>
    <row r="681" spans="3:7" ht="14.25" customHeight="1" x14ac:dyDescent="0.55000000000000004">
      <c r="C681" s="2"/>
      <c r="D681" s="2"/>
      <c r="E681" s="2"/>
      <c r="F681" s="2"/>
      <c r="G681" s="2"/>
    </row>
    <row r="682" spans="3:7" ht="14.25" customHeight="1" x14ac:dyDescent="0.55000000000000004">
      <c r="C682" s="2"/>
      <c r="D682" s="2"/>
      <c r="E682" s="2"/>
      <c r="F682" s="2"/>
      <c r="G682" s="2"/>
    </row>
    <row r="683" spans="3:7" ht="14.25" customHeight="1" x14ac:dyDescent="0.55000000000000004">
      <c r="C683" s="2"/>
      <c r="D683" s="2"/>
      <c r="E683" s="2"/>
      <c r="F683" s="2"/>
      <c r="G683" s="2"/>
    </row>
    <row r="684" spans="3:7" ht="14.25" customHeight="1" x14ac:dyDescent="0.55000000000000004">
      <c r="C684" s="2"/>
      <c r="D684" s="2"/>
      <c r="E684" s="2"/>
      <c r="F684" s="2"/>
      <c r="G684" s="2"/>
    </row>
    <row r="685" spans="3:7" ht="14.25" customHeight="1" x14ac:dyDescent="0.55000000000000004">
      <c r="C685" s="2"/>
      <c r="D685" s="2"/>
      <c r="E685" s="2"/>
      <c r="F685" s="2"/>
      <c r="G685" s="2"/>
    </row>
    <row r="686" spans="3:7" ht="14.25" customHeight="1" x14ac:dyDescent="0.55000000000000004">
      <c r="C686" s="2"/>
      <c r="D686" s="2"/>
      <c r="E686" s="2"/>
      <c r="F686" s="2"/>
      <c r="G686" s="2"/>
    </row>
    <row r="687" spans="3:7" ht="14.25" customHeight="1" x14ac:dyDescent="0.55000000000000004">
      <c r="C687" s="2"/>
      <c r="D687" s="2"/>
      <c r="E687" s="2"/>
      <c r="F687" s="2"/>
      <c r="G687" s="2"/>
    </row>
    <row r="688" spans="3:7" ht="14.25" customHeight="1" x14ac:dyDescent="0.55000000000000004">
      <c r="C688" s="2"/>
      <c r="D688" s="2"/>
      <c r="E688" s="2"/>
      <c r="F688" s="2"/>
      <c r="G688" s="2"/>
    </row>
    <row r="689" spans="3:7" ht="14.25" customHeight="1" x14ac:dyDescent="0.55000000000000004">
      <c r="C689" s="2"/>
      <c r="D689" s="2"/>
      <c r="E689" s="2"/>
      <c r="F689" s="2"/>
      <c r="G689" s="2"/>
    </row>
    <row r="690" spans="3:7" ht="14.25" customHeight="1" x14ac:dyDescent="0.55000000000000004">
      <c r="C690" s="2"/>
      <c r="D690" s="2"/>
      <c r="E690" s="2"/>
      <c r="F690" s="2"/>
      <c r="G690" s="2"/>
    </row>
    <row r="691" spans="3:7" ht="14.25" customHeight="1" x14ac:dyDescent="0.55000000000000004">
      <c r="C691" s="2"/>
      <c r="D691" s="2"/>
      <c r="E691" s="2"/>
      <c r="F691" s="2"/>
      <c r="G691" s="2"/>
    </row>
    <row r="692" spans="3:7" ht="14.25" customHeight="1" x14ac:dyDescent="0.55000000000000004">
      <c r="C692" s="2"/>
      <c r="D692" s="2"/>
      <c r="E692" s="2"/>
      <c r="F692" s="2"/>
      <c r="G692" s="2"/>
    </row>
    <row r="693" spans="3:7" ht="14.25" customHeight="1" x14ac:dyDescent="0.55000000000000004">
      <c r="C693" s="2"/>
      <c r="D693" s="2"/>
      <c r="E693" s="2"/>
      <c r="F693" s="2"/>
      <c r="G693" s="2"/>
    </row>
    <row r="694" spans="3:7" ht="14.25" customHeight="1" x14ac:dyDescent="0.55000000000000004">
      <c r="C694" s="2"/>
      <c r="D694" s="2"/>
      <c r="E694" s="2"/>
      <c r="F694" s="2"/>
      <c r="G694" s="2"/>
    </row>
    <row r="695" spans="3:7" ht="14.25" customHeight="1" x14ac:dyDescent="0.55000000000000004">
      <c r="C695" s="2"/>
      <c r="D695" s="2"/>
      <c r="E695" s="2"/>
      <c r="F695" s="2"/>
      <c r="G695" s="2"/>
    </row>
    <row r="696" spans="3:7" ht="14.25" customHeight="1" x14ac:dyDescent="0.55000000000000004">
      <c r="C696" s="2"/>
      <c r="D696" s="2"/>
      <c r="E696" s="2"/>
      <c r="F696" s="2"/>
      <c r="G696" s="2"/>
    </row>
    <row r="697" spans="3:7" ht="14.25" customHeight="1" x14ac:dyDescent="0.55000000000000004">
      <c r="C697" s="2"/>
      <c r="D697" s="2"/>
      <c r="E697" s="2"/>
      <c r="F697" s="2"/>
      <c r="G697" s="2"/>
    </row>
    <row r="698" spans="3:7" ht="14.25" customHeight="1" x14ac:dyDescent="0.55000000000000004">
      <c r="C698" s="2"/>
      <c r="D698" s="2"/>
      <c r="E698" s="2"/>
      <c r="F698" s="2"/>
      <c r="G698" s="2"/>
    </row>
    <row r="699" spans="3:7" ht="14.25" customHeight="1" x14ac:dyDescent="0.55000000000000004">
      <c r="C699" s="2"/>
      <c r="D699" s="2"/>
      <c r="E699" s="2"/>
      <c r="F699" s="2"/>
      <c r="G699" s="2"/>
    </row>
    <row r="700" spans="3:7" ht="14.25" customHeight="1" x14ac:dyDescent="0.55000000000000004">
      <c r="C700" s="2"/>
      <c r="D700" s="2"/>
      <c r="E700" s="2"/>
      <c r="F700" s="2"/>
      <c r="G700" s="2"/>
    </row>
    <row r="701" spans="3:7" ht="14.25" customHeight="1" x14ac:dyDescent="0.55000000000000004">
      <c r="C701" s="2"/>
      <c r="D701" s="2"/>
      <c r="E701" s="2"/>
      <c r="F701" s="2"/>
      <c r="G701" s="2"/>
    </row>
    <row r="702" spans="3:7" ht="14.25" customHeight="1" x14ac:dyDescent="0.55000000000000004">
      <c r="C702" s="2"/>
      <c r="D702" s="2"/>
      <c r="E702" s="2"/>
      <c r="F702" s="2"/>
      <c r="G702" s="2"/>
    </row>
    <row r="703" spans="3:7" ht="14.25" customHeight="1" x14ac:dyDescent="0.55000000000000004">
      <c r="C703" s="2"/>
      <c r="D703" s="2"/>
      <c r="E703" s="2"/>
      <c r="F703" s="2"/>
      <c r="G703" s="2"/>
    </row>
    <row r="704" spans="3:7" ht="14.25" customHeight="1" x14ac:dyDescent="0.55000000000000004">
      <c r="C704" s="2"/>
      <c r="D704" s="2"/>
      <c r="E704" s="2"/>
      <c r="F704" s="2"/>
      <c r="G704" s="2"/>
    </row>
    <row r="705" spans="3:7" ht="14.25" customHeight="1" x14ac:dyDescent="0.55000000000000004">
      <c r="C705" s="2"/>
      <c r="D705" s="2"/>
      <c r="E705" s="2"/>
      <c r="F705" s="2"/>
      <c r="G705" s="2"/>
    </row>
    <row r="706" spans="3:7" ht="14.25" customHeight="1" x14ac:dyDescent="0.55000000000000004">
      <c r="C706" s="2"/>
      <c r="D706" s="2"/>
      <c r="E706" s="2"/>
      <c r="F706" s="2"/>
      <c r="G706" s="2"/>
    </row>
    <row r="707" spans="3:7" ht="14.25" customHeight="1" x14ac:dyDescent="0.55000000000000004">
      <c r="C707" s="2"/>
      <c r="D707" s="2"/>
      <c r="E707" s="2"/>
      <c r="F707" s="2"/>
      <c r="G707" s="2"/>
    </row>
    <row r="708" spans="3:7" ht="14.25" customHeight="1" x14ac:dyDescent="0.55000000000000004">
      <c r="C708" s="2"/>
      <c r="D708" s="2"/>
      <c r="E708" s="2"/>
      <c r="F708" s="2"/>
      <c r="G708" s="2"/>
    </row>
    <row r="709" spans="3:7" ht="14.25" customHeight="1" x14ac:dyDescent="0.55000000000000004">
      <c r="C709" s="2"/>
      <c r="D709" s="2"/>
      <c r="E709" s="2"/>
      <c r="F709" s="2"/>
      <c r="G709" s="2"/>
    </row>
    <row r="710" spans="3:7" ht="14.25" customHeight="1" x14ac:dyDescent="0.55000000000000004">
      <c r="C710" s="2"/>
      <c r="D710" s="2"/>
      <c r="E710" s="2"/>
      <c r="F710" s="2"/>
      <c r="G710" s="2"/>
    </row>
    <row r="711" spans="3:7" ht="14.25" customHeight="1" x14ac:dyDescent="0.55000000000000004">
      <c r="C711" s="2"/>
      <c r="D711" s="2"/>
      <c r="E711" s="2"/>
      <c r="F711" s="2"/>
      <c r="G711" s="2"/>
    </row>
    <row r="712" spans="3:7" ht="14.25" customHeight="1" x14ac:dyDescent="0.55000000000000004">
      <c r="C712" s="2"/>
      <c r="D712" s="2"/>
      <c r="E712" s="2"/>
      <c r="F712" s="2"/>
      <c r="G712" s="2"/>
    </row>
    <row r="713" spans="3:7" ht="14.25" customHeight="1" x14ac:dyDescent="0.55000000000000004">
      <c r="C713" s="2"/>
      <c r="D713" s="2"/>
      <c r="E713" s="2"/>
      <c r="F713" s="2"/>
      <c r="G713" s="2"/>
    </row>
    <row r="714" spans="3:7" ht="14.25" customHeight="1" x14ac:dyDescent="0.55000000000000004">
      <c r="C714" s="2"/>
      <c r="D714" s="2"/>
      <c r="E714" s="2"/>
      <c r="F714" s="2"/>
      <c r="G714" s="2"/>
    </row>
    <row r="715" spans="3:7" ht="14.25" customHeight="1" x14ac:dyDescent="0.55000000000000004">
      <c r="C715" s="2"/>
      <c r="D715" s="2"/>
      <c r="E715" s="2"/>
      <c r="F715" s="2"/>
      <c r="G715" s="2"/>
    </row>
    <row r="716" spans="3:7" ht="14.25" customHeight="1" x14ac:dyDescent="0.55000000000000004">
      <c r="C716" s="2"/>
      <c r="D716" s="2"/>
      <c r="E716" s="2"/>
      <c r="F716" s="2"/>
      <c r="G716" s="2"/>
    </row>
    <row r="717" spans="3:7" ht="14.25" customHeight="1" x14ac:dyDescent="0.55000000000000004">
      <c r="C717" s="2"/>
      <c r="D717" s="2"/>
      <c r="E717" s="2"/>
      <c r="F717" s="2"/>
      <c r="G717" s="2"/>
    </row>
    <row r="718" spans="3:7" ht="14.25" customHeight="1" x14ac:dyDescent="0.55000000000000004">
      <c r="C718" s="2"/>
      <c r="D718" s="2"/>
      <c r="E718" s="2"/>
      <c r="F718" s="2"/>
      <c r="G718" s="2"/>
    </row>
    <row r="719" spans="3:7" ht="14.25" customHeight="1" x14ac:dyDescent="0.55000000000000004">
      <c r="C719" s="2"/>
      <c r="D719" s="2"/>
      <c r="E719" s="2"/>
      <c r="F719" s="2"/>
      <c r="G719" s="2"/>
    </row>
    <row r="720" spans="3:7" ht="14.25" customHeight="1" x14ac:dyDescent="0.55000000000000004">
      <c r="C720" s="2"/>
      <c r="D720" s="2"/>
      <c r="E720" s="2"/>
      <c r="F720" s="2"/>
      <c r="G720" s="2"/>
    </row>
    <row r="721" spans="3:7" ht="14.25" customHeight="1" x14ac:dyDescent="0.55000000000000004">
      <c r="C721" s="2"/>
      <c r="D721" s="2"/>
      <c r="E721" s="2"/>
      <c r="F721" s="2"/>
      <c r="G721" s="2"/>
    </row>
    <row r="722" spans="3:7" ht="14.25" customHeight="1" x14ac:dyDescent="0.55000000000000004">
      <c r="C722" s="2"/>
      <c r="D722" s="2"/>
      <c r="E722" s="2"/>
      <c r="F722" s="2"/>
      <c r="G722" s="2"/>
    </row>
    <row r="723" spans="3:7" ht="14.25" customHeight="1" x14ac:dyDescent="0.55000000000000004">
      <c r="C723" s="2"/>
      <c r="D723" s="2"/>
      <c r="E723" s="2"/>
      <c r="F723" s="2"/>
      <c r="G723" s="2"/>
    </row>
    <row r="724" spans="3:7" ht="14.25" customHeight="1" x14ac:dyDescent="0.55000000000000004">
      <c r="C724" s="2"/>
      <c r="D724" s="2"/>
      <c r="E724" s="2"/>
      <c r="F724" s="2"/>
      <c r="G724" s="2"/>
    </row>
    <row r="725" spans="3:7" ht="14.25" customHeight="1" x14ac:dyDescent="0.55000000000000004">
      <c r="C725" s="2"/>
      <c r="D725" s="2"/>
      <c r="E725" s="2"/>
      <c r="F725" s="2"/>
      <c r="G725" s="2"/>
    </row>
    <row r="726" spans="3:7" ht="14.25" customHeight="1" x14ac:dyDescent="0.55000000000000004">
      <c r="C726" s="2"/>
      <c r="D726" s="2"/>
      <c r="E726" s="2"/>
      <c r="F726" s="2"/>
      <c r="G726" s="2"/>
    </row>
    <row r="727" spans="3:7" ht="14.25" customHeight="1" x14ac:dyDescent="0.55000000000000004">
      <c r="C727" s="2"/>
      <c r="D727" s="2"/>
      <c r="E727" s="2"/>
      <c r="F727" s="2"/>
      <c r="G727" s="2"/>
    </row>
    <row r="728" spans="3:7" ht="14.25" customHeight="1" x14ac:dyDescent="0.55000000000000004">
      <c r="C728" s="2"/>
      <c r="D728" s="2"/>
      <c r="E728" s="2"/>
      <c r="F728" s="2"/>
      <c r="G728" s="2"/>
    </row>
    <row r="729" spans="3:7" ht="14.25" customHeight="1" x14ac:dyDescent="0.55000000000000004">
      <c r="C729" s="2"/>
      <c r="D729" s="2"/>
      <c r="E729" s="2"/>
      <c r="F729" s="2"/>
      <c r="G729" s="2"/>
    </row>
    <row r="730" spans="3:7" ht="14.25" customHeight="1" x14ac:dyDescent="0.55000000000000004">
      <c r="C730" s="2"/>
      <c r="D730" s="2"/>
      <c r="E730" s="2"/>
      <c r="F730" s="2"/>
      <c r="G730" s="2"/>
    </row>
    <row r="731" spans="3:7" ht="14.25" customHeight="1" x14ac:dyDescent="0.55000000000000004">
      <c r="C731" s="2"/>
      <c r="D731" s="2"/>
      <c r="E731" s="2"/>
      <c r="F731" s="2"/>
      <c r="G731" s="2"/>
    </row>
    <row r="732" spans="3:7" ht="14.25" customHeight="1" x14ac:dyDescent="0.55000000000000004">
      <c r="C732" s="2"/>
      <c r="D732" s="2"/>
      <c r="E732" s="2"/>
      <c r="F732" s="2"/>
      <c r="G732" s="2"/>
    </row>
    <row r="733" spans="3:7" ht="14.25" customHeight="1" x14ac:dyDescent="0.55000000000000004">
      <c r="C733" s="2"/>
      <c r="D733" s="2"/>
      <c r="E733" s="2"/>
      <c r="F733" s="2"/>
      <c r="G733" s="2"/>
    </row>
    <row r="734" spans="3:7" ht="14.25" customHeight="1" x14ac:dyDescent="0.55000000000000004">
      <c r="C734" s="2"/>
      <c r="D734" s="2"/>
      <c r="E734" s="2"/>
      <c r="F734" s="2"/>
      <c r="G734" s="2"/>
    </row>
    <row r="735" spans="3:7" ht="14.25" customHeight="1" x14ac:dyDescent="0.55000000000000004">
      <c r="C735" s="2"/>
      <c r="D735" s="2"/>
      <c r="E735" s="2"/>
      <c r="F735" s="2"/>
      <c r="G735" s="2"/>
    </row>
    <row r="736" spans="3:7" ht="14.25" customHeight="1" x14ac:dyDescent="0.55000000000000004">
      <c r="C736" s="2"/>
      <c r="D736" s="2"/>
      <c r="E736" s="2"/>
      <c r="F736" s="2"/>
      <c r="G736" s="2"/>
    </row>
    <row r="737" spans="3:7" ht="14.25" customHeight="1" x14ac:dyDescent="0.55000000000000004">
      <c r="C737" s="2"/>
      <c r="D737" s="2"/>
      <c r="E737" s="2"/>
      <c r="F737" s="2"/>
      <c r="G737" s="2"/>
    </row>
    <row r="738" spans="3:7" ht="14.25" customHeight="1" x14ac:dyDescent="0.55000000000000004">
      <c r="C738" s="2"/>
      <c r="D738" s="2"/>
      <c r="E738" s="2"/>
      <c r="F738" s="2"/>
      <c r="G738" s="2"/>
    </row>
    <row r="739" spans="3:7" ht="14.25" customHeight="1" x14ac:dyDescent="0.55000000000000004">
      <c r="C739" s="2"/>
      <c r="D739" s="2"/>
      <c r="E739" s="2"/>
      <c r="F739" s="2"/>
      <c r="G739" s="2"/>
    </row>
    <row r="740" spans="3:7" ht="14.25" customHeight="1" x14ac:dyDescent="0.55000000000000004">
      <c r="C740" s="2"/>
      <c r="D740" s="2"/>
      <c r="E740" s="2"/>
      <c r="F740" s="2"/>
      <c r="G740" s="2"/>
    </row>
    <row r="741" spans="3:7" ht="14.25" customHeight="1" x14ac:dyDescent="0.55000000000000004">
      <c r="C741" s="2"/>
      <c r="D741" s="2"/>
      <c r="E741" s="2"/>
      <c r="F741" s="2"/>
      <c r="G741" s="2"/>
    </row>
    <row r="742" spans="3:7" ht="14.25" customHeight="1" x14ac:dyDescent="0.55000000000000004">
      <c r="C742" s="2"/>
      <c r="D742" s="2"/>
      <c r="E742" s="2"/>
      <c r="F742" s="2"/>
      <c r="G742" s="2"/>
    </row>
    <row r="743" spans="3:7" ht="14.25" customHeight="1" x14ac:dyDescent="0.55000000000000004">
      <c r="C743" s="2"/>
      <c r="D743" s="2"/>
      <c r="E743" s="2"/>
      <c r="F743" s="2"/>
      <c r="G743" s="2"/>
    </row>
    <row r="744" spans="3:7" ht="14.25" customHeight="1" x14ac:dyDescent="0.55000000000000004">
      <c r="C744" s="2"/>
      <c r="D744" s="2"/>
      <c r="E744" s="2"/>
      <c r="F744" s="2"/>
      <c r="G744" s="2"/>
    </row>
    <row r="745" spans="3:7" ht="14.25" customHeight="1" x14ac:dyDescent="0.55000000000000004">
      <c r="C745" s="2"/>
      <c r="D745" s="2"/>
      <c r="E745" s="2"/>
      <c r="F745" s="2"/>
      <c r="G745" s="2"/>
    </row>
    <row r="746" spans="3:7" ht="14.25" customHeight="1" x14ac:dyDescent="0.55000000000000004">
      <c r="C746" s="2"/>
      <c r="D746" s="2"/>
      <c r="E746" s="2"/>
      <c r="F746" s="2"/>
      <c r="G746" s="2"/>
    </row>
    <row r="747" spans="3:7" ht="14.25" customHeight="1" x14ac:dyDescent="0.55000000000000004">
      <c r="C747" s="2"/>
      <c r="D747" s="2"/>
      <c r="E747" s="2"/>
      <c r="F747" s="2"/>
      <c r="G747" s="2"/>
    </row>
    <row r="748" spans="3:7" ht="14.25" customHeight="1" x14ac:dyDescent="0.55000000000000004">
      <c r="C748" s="2"/>
      <c r="D748" s="2"/>
      <c r="E748" s="2"/>
      <c r="F748" s="2"/>
      <c r="G748" s="2"/>
    </row>
    <row r="749" spans="3:7" ht="14.25" customHeight="1" x14ac:dyDescent="0.55000000000000004">
      <c r="C749" s="2"/>
      <c r="D749" s="2"/>
      <c r="E749" s="2"/>
      <c r="F749" s="2"/>
      <c r="G749" s="2"/>
    </row>
    <row r="750" spans="3:7" ht="14.25" customHeight="1" x14ac:dyDescent="0.55000000000000004">
      <c r="C750" s="2"/>
      <c r="D750" s="2"/>
      <c r="E750" s="2"/>
      <c r="F750" s="2"/>
      <c r="G750" s="2"/>
    </row>
    <row r="751" spans="3:7" ht="14.25" customHeight="1" x14ac:dyDescent="0.55000000000000004">
      <c r="C751" s="2"/>
      <c r="D751" s="2"/>
      <c r="E751" s="2"/>
      <c r="F751" s="2"/>
      <c r="G751" s="2"/>
    </row>
    <row r="752" spans="3:7" ht="14.25" customHeight="1" x14ac:dyDescent="0.55000000000000004">
      <c r="C752" s="2"/>
      <c r="D752" s="2"/>
      <c r="E752" s="2"/>
      <c r="F752" s="2"/>
      <c r="G752" s="2"/>
    </row>
    <row r="753" spans="3:7" ht="14.25" customHeight="1" x14ac:dyDescent="0.55000000000000004">
      <c r="C753" s="2"/>
      <c r="D753" s="2"/>
      <c r="E753" s="2"/>
      <c r="F753" s="2"/>
      <c r="G753" s="2"/>
    </row>
    <row r="754" spans="3:7" ht="14.25" customHeight="1" x14ac:dyDescent="0.55000000000000004">
      <c r="C754" s="2"/>
      <c r="D754" s="2"/>
      <c r="E754" s="2"/>
      <c r="F754" s="2"/>
      <c r="G754" s="2"/>
    </row>
    <row r="755" spans="3:7" ht="14.25" customHeight="1" x14ac:dyDescent="0.55000000000000004">
      <c r="C755" s="2"/>
      <c r="D755" s="2"/>
      <c r="E755" s="2"/>
      <c r="F755" s="2"/>
      <c r="G755" s="2"/>
    </row>
    <row r="756" spans="3:7" ht="14.25" customHeight="1" x14ac:dyDescent="0.55000000000000004">
      <c r="C756" s="2"/>
      <c r="D756" s="2"/>
      <c r="E756" s="2"/>
      <c r="F756" s="2"/>
      <c r="G756" s="2"/>
    </row>
    <row r="757" spans="3:7" ht="14.25" customHeight="1" x14ac:dyDescent="0.55000000000000004">
      <c r="C757" s="2"/>
      <c r="D757" s="2"/>
      <c r="E757" s="2"/>
      <c r="F757" s="2"/>
      <c r="G757" s="2"/>
    </row>
    <row r="758" spans="3:7" ht="14.25" customHeight="1" x14ac:dyDescent="0.55000000000000004">
      <c r="C758" s="2"/>
      <c r="D758" s="2"/>
      <c r="E758" s="2"/>
      <c r="F758" s="2"/>
      <c r="G758" s="2"/>
    </row>
    <row r="759" spans="3:7" ht="14.25" customHeight="1" x14ac:dyDescent="0.55000000000000004">
      <c r="C759" s="2"/>
      <c r="D759" s="2"/>
      <c r="E759" s="2"/>
      <c r="F759" s="2"/>
      <c r="G759" s="2"/>
    </row>
    <row r="760" spans="3:7" ht="14.25" customHeight="1" x14ac:dyDescent="0.55000000000000004">
      <c r="C760" s="2"/>
      <c r="D760" s="2"/>
      <c r="E760" s="2"/>
      <c r="F760" s="2"/>
      <c r="G760" s="2"/>
    </row>
    <row r="761" spans="3:7" ht="14.25" customHeight="1" x14ac:dyDescent="0.55000000000000004">
      <c r="C761" s="2"/>
      <c r="D761" s="2"/>
      <c r="E761" s="2"/>
      <c r="F761" s="2"/>
      <c r="G761" s="2"/>
    </row>
    <row r="762" spans="3:7" ht="14.25" customHeight="1" x14ac:dyDescent="0.55000000000000004">
      <c r="C762" s="2"/>
      <c r="D762" s="2"/>
      <c r="E762" s="2"/>
      <c r="F762" s="2"/>
      <c r="G762" s="2"/>
    </row>
    <row r="763" spans="3:7" ht="14.25" customHeight="1" x14ac:dyDescent="0.55000000000000004">
      <c r="C763" s="2"/>
      <c r="D763" s="2"/>
      <c r="E763" s="2"/>
      <c r="F763" s="2"/>
      <c r="G763" s="2"/>
    </row>
    <row r="764" spans="3:7" ht="14.25" customHeight="1" x14ac:dyDescent="0.55000000000000004">
      <c r="C764" s="2"/>
      <c r="D764" s="2"/>
      <c r="E764" s="2"/>
      <c r="F764" s="2"/>
      <c r="G764" s="2"/>
    </row>
    <row r="765" spans="3:7" ht="14.25" customHeight="1" x14ac:dyDescent="0.55000000000000004">
      <c r="C765" s="2"/>
      <c r="D765" s="2"/>
      <c r="E765" s="2"/>
      <c r="F765" s="2"/>
      <c r="G765" s="2"/>
    </row>
    <row r="766" spans="3:7" ht="14.25" customHeight="1" x14ac:dyDescent="0.55000000000000004">
      <c r="C766" s="2"/>
      <c r="D766" s="2"/>
      <c r="E766" s="2"/>
      <c r="F766" s="2"/>
      <c r="G766" s="2"/>
    </row>
    <row r="767" spans="3:7" ht="14.25" customHeight="1" x14ac:dyDescent="0.55000000000000004">
      <c r="C767" s="2"/>
      <c r="D767" s="2"/>
      <c r="E767" s="2"/>
      <c r="F767" s="2"/>
      <c r="G767" s="2"/>
    </row>
    <row r="768" spans="3:7" ht="14.25" customHeight="1" x14ac:dyDescent="0.55000000000000004">
      <c r="C768" s="2"/>
      <c r="D768" s="2"/>
      <c r="E768" s="2"/>
      <c r="F768" s="2"/>
      <c r="G768" s="2"/>
    </row>
    <row r="769" spans="3:7" ht="14.25" customHeight="1" x14ac:dyDescent="0.55000000000000004">
      <c r="C769" s="2"/>
      <c r="D769" s="2"/>
      <c r="E769" s="2"/>
      <c r="F769" s="2"/>
      <c r="G769" s="2"/>
    </row>
    <row r="770" spans="3:7" ht="14.25" customHeight="1" x14ac:dyDescent="0.55000000000000004">
      <c r="C770" s="2"/>
      <c r="D770" s="2"/>
      <c r="E770" s="2"/>
      <c r="F770" s="2"/>
      <c r="G770" s="2"/>
    </row>
    <row r="771" spans="3:7" ht="14.25" customHeight="1" x14ac:dyDescent="0.55000000000000004">
      <c r="C771" s="2"/>
      <c r="D771" s="2"/>
      <c r="E771" s="2"/>
      <c r="F771" s="2"/>
      <c r="G771" s="2"/>
    </row>
    <row r="772" spans="3:7" ht="14.25" customHeight="1" x14ac:dyDescent="0.55000000000000004">
      <c r="C772" s="2"/>
      <c r="D772" s="2"/>
      <c r="E772" s="2"/>
      <c r="F772" s="2"/>
      <c r="G772" s="2"/>
    </row>
    <row r="773" spans="3:7" ht="14.25" customHeight="1" x14ac:dyDescent="0.55000000000000004">
      <c r="C773" s="2"/>
      <c r="D773" s="2"/>
      <c r="E773" s="2"/>
      <c r="F773" s="2"/>
      <c r="G773" s="2"/>
    </row>
    <row r="774" spans="3:7" ht="14.25" customHeight="1" x14ac:dyDescent="0.55000000000000004">
      <c r="C774" s="2"/>
      <c r="D774" s="2"/>
      <c r="E774" s="2"/>
      <c r="F774" s="2"/>
      <c r="G774" s="2"/>
    </row>
    <row r="775" spans="3:7" ht="14.25" customHeight="1" x14ac:dyDescent="0.55000000000000004">
      <c r="C775" s="2"/>
      <c r="D775" s="2"/>
      <c r="E775" s="2"/>
      <c r="F775" s="2"/>
      <c r="G775" s="2"/>
    </row>
    <row r="776" spans="3:7" ht="14.25" customHeight="1" x14ac:dyDescent="0.55000000000000004">
      <c r="C776" s="2"/>
      <c r="D776" s="2"/>
      <c r="E776" s="2"/>
      <c r="F776" s="2"/>
      <c r="G776" s="2"/>
    </row>
    <row r="777" spans="3:7" ht="14.25" customHeight="1" x14ac:dyDescent="0.55000000000000004">
      <c r="C777" s="2"/>
      <c r="D777" s="2"/>
      <c r="E777" s="2"/>
      <c r="F777" s="2"/>
      <c r="G777" s="2"/>
    </row>
    <row r="778" spans="3:7" ht="14.25" customHeight="1" x14ac:dyDescent="0.55000000000000004">
      <c r="C778" s="2"/>
      <c r="D778" s="2"/>
      <c r="E778" s="2"/>
      <c r="F778" s="2"/>
      <c r="G778" s="2"/>
    </row>
    <row r="779" spans="3:7" ht="14.25" customHeight="1" x14ac:dyDescent="0.55000000000000004">
      <c r="C779" s="2"/>
      <c r="D779" s="2"/>
      <c r="E779" s="2"/>
      <c r="F779" s="2"/>
      <c r="G779" s="2"/>
    </row>
    <row r="780" spans="3:7" ht="14.25" customHeight="1" x14ac:dyDescent="0.55000000000000004">
      <c r="C780" s="2"/>
      <c r="D780" s="2"/>
      <c r="E780" s="2"/>
      <c r="F780" s="2"/>
      <c r="G780" s="2"/>
    </row>
    <row r="781" spans="3:7" ht="14.25" customHeight="1" x14ac:dyDescent="0.55000000000000004">
      <c r="C781" s="2"/>
      <c r="D781" s="2"/>
      <c r="E781" s="2"/>
      <c r="F781" s="2"/>
      <c r="G781" s="2"/>
    </row>
    <row r="782" spans="3:7" ht="14.25" customHeight="1" x14ac:dyDescent="0.55000000000000004">
      <c r="C782" s="2"/>
      <c r="D782" s="2"/>
      <c r="E782" s="2"/>
      <c r="F782" s="2"/>
      <c r="G782" s="2"/>
    </row>
    <row r="783" spans="3:7" ht="14.25" customHeight="1" x14ac:dyDescent="0.55000000000000004">
      <c r="C783" s="2"/>
      <c r="D783" s="2"/>
      <c r="E783" s="2"/>
      <c r="F783" s="2"/>
      <c r="G783" s="2"/>
    </row>
    <row r="784" spans="3:7" ht="14.25" customHeight="1" x14ac:dyDescent="0.55000000000000004">
      <c r="C784" s="2"/>
      <c r="D784" s="2"/>
      <c r="E784" s="2"/>
      <c r="F784" s="2"/>
      <c r="G784" s="2"/>
    </row>
    <row r="785" spans="3:7" ht="14.25" customHeight="1" x14ac:dyDescent="0.55000000000000004">
      <c r="C785" s="2"/>
      <c r="D785" s="2"/>
      <c r="E785" s="2"/>
      <c r="F785" s="2"/>
      <c r="G785" s="2"/>
    </row>
    <row r="786" spans="3:7" ht="14.25" customHeight="1" x14ac:dyDescent="0.55000000000000004">
      <c r="C786" s="2"/>
      <c r="D786" s="2"/>
      <c r="E786" s="2"/>
      <c r="F786" s="2"/>
      <c r="G786" s="2"/>
    </row>
    <row r="787" spans="3:7" ht="14.25" customHeight="1" x14ac:dyDescent="0.55000000000000004">
      <c r="C787" s="2"/>
      <c r="D787" s="2"/>
      <c r="E787" s="2"/>
      <c r="F787" s="2"/>
      <c r="G787" s="2"/>
    </row>
    <row r="788" spans="3:7" ht="14.25" customHeight="1" x14ac:dyDescent="0.55000000000000004">
      <c r="C788" s="2"/>
      <c r="D788" s="2"/>
      <c r="E788" s="2"/>
      <c r="F788" s="2"/>
      <c r="G788" s="2"/>
    </row>
    <row r="789" spans="3:7" ht="14.25" customHeight="1" x14ac:dyDescent="0.55000000000000004">
      <c r="C789" s="2"/>
      <c r="D789" s="2"/>
      <c r="E789" s="2"/>
      <c r="F789" s="2"/>
      <c r="G789" s="2"/>
    </row>
    <row r="790" spans="3:7" ht="14.25" customHeight="1" x14ac:dyDescent="0.55000000000000004">
      <c r="C790" s="2"/>
      <c r="D790" s="2"/>
      <c r="E790" s="2"/>
      <c r="F790" s="2"/>
      <c r="G790" s="2"/>
    </row>
    <row r="791" spans="3:7" ht="14.25" customHeight="1" x14ac:dyDescent="0.55000000000000004">
      <c r="C791" s="2"/>
      <c r="D791" s="2"/>
      <c r="E791" s="2"/>
      <c r="F791" s="2"/>
      <c r="G791" s="2"/>
    </row>
    <row r="792" spans="3:7" ht="14.25" customHeight="1" x14ac:dyDescent="0.55000000000000004">
      <c r="C792" s="2"/>
      <c r="D792" s="2"/>
      <c r="E792" s="2"/>
      <c r="F792" s="2"/>
      <c r="G792" s="2"/>
    </row>
    <row r="793" spans="3:7" ht="14.25" customHeight="1" x14ac:dyDescent="0.55000000000000004">
      <c r="C793" s="2"/>
      <c r="D793" s="2"/>
      <c r="E793" s="2"/>
      <c r="F793" s="2"/>
      <c r="G793" s="2"/>
    </row>
    <row r="794" spans="3:7" ht="14.25" customHeight="1" x14ac:dyDescent="0.55000000000000004">
      <c r="C794" s="2"/>
      <c r="D794" s="2"/>
      <c r="E794" s="2"/>
      <c r="F794" s="2"/>
      <c r="G794" s="2"/>
    </row>
    <row r="795" spans="3:7" ht="14.25" customHeight="1" x14ac:dyDescent="0.55000000000000004">
      <c r="C795" s="2"/>
      <c r="D795" s="2"/>
      <c r="E795" s="2"/>
      <c r="F795" s="2"/>
      <c r="G795" s="2"/>
    </row>
    <row r="796" spans="3:7" ht="14.25" customHeight="1" x14ac:dyDescent="0.55000000000000004">
      <c r="C796" s="2"/>
      <c r="D796" s="2"/>
      <c r="E796" s="2"/>
      <c r="F796" s="2"/>
      <c r="G796" s="2"/>
    </row>
    <row r="797" spans="3:7" ht="14.25" customHeight="1" x14ac:dyDescent="0.55000000000000004">
      <c r="C797" s="2"/>
      <c r="D797" s="2"/>
      <c r="E797" s="2"/>
      <c r="F797" s="2"/>
      <c r="G797" s="2"/>
    </row>
    <row r="798" spans="3:7" ht="14.25" customHeight="1" x14ac:dyDescent="0.55000000000000004">
      <c r="C798" s="2"/>
      <c r="D798" s="2"/>
      <c r="E798" s="2"/>
      <c r="F798" s="2"/>
      <c r="G798" s="2"/>
    </row>
    <row r="799" spans="3:7" ht="14.25" customHeight="1" x14ac:dyDescent="0.55000000000000004">
      <c r="C799" s="2"/>
      <c r="D799" s="2"/>
      <c r="E799" s="2"/>
      <c r="F799" s="2"/>
      <c r="G799" s="2"/>
    </row>
    <row r="800" spans="3:7" ht="14.25" customHeight="1" x14ac:dyDescent="0.55000000000000004">
      <c r="C800" s="2"/>
      <c r="D800" s="2"/>
      <c r="E800" s="2"/>
      <c r="F800" s="2"/>
      <c r="G800" s="2"/>
    </row>
    <row r="801" spans="3:7" ht="14.25" customHeight="1" x14ac:dyDescent="0.55000000000000004">
      <c r="C801" s="2"/>
      <c r="D801" s="2"/>
      <c r="E801" s="2"/>
      <c r="F801" s="2"/>
      <c r="G801" s="2"/>
    </row>
    <row r="802" spans="3:7" ht="14.25" customHeight="1" x14ac:dyDescent="0.55000000000000004">
      <c r="C802" s="2"/>
      <c r="D802" s="2"/>
      <c r="E802" s="2"/>
      <c r="F802" s="2"/>
      <c r="G802" s="2"/>
    </row>
    <row r="803" spans="3:7" ht="14.25" customHeight="1" x14ac:dyDescent="0.55000000000000004">
      <c r="C803" s="2"/>
      <c r="D803" s="2"/>
      <c r="E803" s="2"/>
      <c r="F803" s="2"/>
      <c r="G803" s="2"/>
    </row>
    <row r="804" spans="3:7" ht="14.25" customHeight="1" x14ac:dyDescent="0.55000000000000004">
      <c r="C804" s="2"/>
      <c r="D804" s="2"/>
      <c r="E804" s="2"/>
      <c r="F804" s="2"/>
      <c r="G804" s="2"/>
    </row>
    <row r="805" spans="3:7" ht="14.25" customHeight="1" x14ac:dyDescent="0.55000000000000004">
      <c r="C805" s="2"/>
      <c r="D805" s="2"/>
      <c r="E805" s="2"/>
      <c r="F805" s="2"/>
      <c r="G805" s="2"/>
    </row>
    <row r="806" spans="3:7" ht="14.25" customHeight="1" x14ac:dyDescent="0.55000000000000004">
      <c r="C806" s="2"/>
      <c r="D806" s="2"/>
      <c r="E806" s="2"/>
      <c r="F806" s="2"/>
      <c r="G806" s="2"/>
    </row>
    <row r="807" spans="3:7" ht="14.25" customHeight="1" x14ac:dyDescent="0.55000000000000004">
      <c r="C807" s="2"/>
      <c r="D807" s="2"/>
      <c r="E807" s="2"/>
      <c r="F807" s="2"/>
      <c r="G807" s="2"/>
    </row>
    <row r="808" spans="3:7" ht="14.25" customHeight="1" x14ac:dyDescent="0.55000000000000004">
      <c r="C808" s="2"/>
      <c r="D808" s="2"/>
      <c r="E808" s="2"/>
      <c r="F808" s="2"/>
      <c r="G808" s="2"/>
    </row>
    <row r="809" spans="3:7" ht="14.25" customHeight="1" x14ac:dyDescent="0.55000000000000004">
      <c r="C809" s="2"/>
      <c r="D809" s="2"/>
      <c r="E809" s="2"/>
      <c r="F809" s="2"/>
      <c r="G809" s="2"/>
    </row>
    <row r="810" spans="3:7" ht="14.25" customHeight="1" x14ac:dyDescent="0.55000000000000004">
      <c r="C810" s="2"/>
      <c r="D810" s="2"/>
      <c r="E810" s="2"/>
      <c r="F810" s="2"/>
      <c r="G810" s="2"/>
    </row>
    <row r="811" spans="3:7" ht="14.25" customHeight="1" x14ac:dyDescent="0.55000000000000004">
      <c r="C811" s="2"/>
      <c r="D811" s="2"/>
      <c r="E811" s="2"/>
      <c r="F811" s="2"/>
      <c r="G811" s="2"/>
    </row>
    <row r="812" spans="3:7" ht="14.25" customHeight="1" x14ac:dyDescent="0.55000000000000004">
      <c r="C812" s="2"/>
      <c r="D812" s="2"/>
      <c r="E812" s="2"/>
      <c r="F812" s="2"/>
      <c r="G812" s="2"/>
    </row>
    <row r="813" spans="3:7" ht="14.25" customHeight="1" x14ac:dyDescent="0.55000000000000004">
      <c r="C813" s="2"/>
      <c r="D813" s="2"/>
      <c r="E813" s="2"/>
      <c r="F813" s="2"/>
      <c r="G813" s="2"/>
    </row>
    <row r="814" spans="3:7" ht="14.25" customHeight="1" x14ac:dyDescent="0.55000000000000004">
      <c r="C814" s="2"/>
      <c r="D814" s="2"/>
      <c r="E814" s="2"/>
      <c r="F814" s="2"/>
      <c r="G814" s="2"/>
    </row>
    <row r="815" spans="3:7" ht="14.25" customHeight="1" x14ac:dyDescent="0.55000000000000004">
      <c r="C815" s="2"/>
      <c r="D815" s="2"/>
      <c r="E815" s="2"/>
      <c r="F815" s="2"/>
      <c r="G815" s="2"/>
    </row>
    <row r="816" spans="3:7" ht="14.25" customHeight="1" x14ac:dyDescent="0.55000000000000004">
      <c r="C816" s="2"/>
      <c r="D816" s="2"/>
      <c r="E816" s="2"/>
      <c r="F816" s="2"/>
      <c r="G816" s="2"/>
    </row>
    <row r="817" spans="3:7" ht="14.25" customHeight="1" x14ac:dyDescent="0.55000000000000004">
      <c r="C817" s="2"/>
      <c r="D817" s="2"/>
      <c r="E817" s="2"/>
      <c r="F817" s="2"/>
      <c r="G817" s="2"/>
    </row>
    <row r="818" spans="3:7" ht="14.25" customHeight="1" x14ac:dyDescent="0.55000000000000004">
      <c r="C818" s="2"/>
      <c r="D818" s="2"/>
      <c r="E818" s="2"/>
      <c r="F818" s="2"/>
      <c r="G818" s="2"/>
    </row>
    <row r="819" spans="3:7" ht="14.25" customHeight="1" x14ac:dyDescent="0.55000000000000004">
      <c r="C819" s="2"/>
      <c r="D819" s="2"/>
      <c r="E819" s="2"/>
      <c r="F819" s="2"/>
      <c r="G819" s="2"/>
    </row>
    <row r="820" spans="3:7" ht="14.25" customHeight="1" x14ac:dyDescent="0.55000000000000004">
      <c r="C820" s="2"/>
      <c r="D820" s="2"/>
      <c r="E820" s="2"/>
      <c r="F820" s="2"/>
      <c r="G820" s="2"/>
    </row>
    <row r="821" spans="3:7" ht="14.25" customHeight="1" x14ac:dyDescent="0.55000000000000004">
      <c r="C821" s="2"/>
      <c r="D821" s="2"/>
      <c r="E821" s="2"/>
      <c r="F821" s="2"/>
      <c r="G821" s="2"/>
    </row>
    <row r="822" spans="3:7" ht="14.25" customHeight="1" x14ac:dyDescent="0.55000000000000004">
      <c r="C822" s="2"/>
      <c r="D822" s="2"/>
      <c r="E822" s="2"/>
      <c r="F822" s="2"/>
      <c r="G822" s="2"/>
    </row>
    <row r="823" spans="3:7" ht="14.25" customHeight="1" x14ac:dyDescent="0.55000000000000004">
      <c r="C823" s="2"/>
      <c r="D823" s="2"/>
      <c r="E823" s="2"/>
      <c r="F823" s="2"/>
      <c r="G823" s="2"/>
    </row>
    <row r="824" spans="3:7" ht="14.25" customHeight="1" x14ac:dyDescent="0.55000000000000004">
      <c r="C824" s="2"/>
      <c r="D824" s="2"/>
      <c r="E824" s="2"/>
      <c r="F824" s="2"/>
      <c r="G824" s="2"/>
    </row>
    <row r="825" spans="3:7" ht="14.25" customHeight="1" x14ac:dyDescent="0.55000000000000004">
      <c r="C825" s="2"/>
      <c r="D825" s="2"/>
      <c r="E825" s="2"/>
      <c r="F825" s="2"/>
      <c r="G825" s="2"/>
    </row>
    <row r="826" spans="3:7" ht="14.25" customHeight="1" x14ac:dyDescent="0.55000000000000004">
      <c r="C826" s="2"/>
      <c r="D826" s="2"/>
      <c r="E826" s="2"/>
      <c r="F826" s="2"/>
      <c r="G826" s="2"/>
    </row>
    <row r="827" spans="3:7" ht="14.25" customHeight="1" x14ac:dyDescent="0.55000000000000004">
      <c r="C827" s="2"/>
      <c r="D827" s="2"/>
      <c r="E827" s="2"/>
      <c r="F827" s="2"/>
      <c r="G827" s="2"/>
    </row>
    <row r="828" spans="3:7" ht="14.25" customHeight="1" x14ac:dyDescent="0.55000000000000004">
      <c r="C828" s="2"/>
      <c r="D828" s="2"/>
      <c r="E828" s="2"/>
      <c r="F828" s="2"/>
      <c r="G828" s="2"/>
    </row>
    <row r="829" spans="3:7" ht="14.25" customHeight="1" x14ac:dyDescent="0.55000000000000004">
      <c r="C829" s="2"/>
      <c r="D829" s="2"/>
      <c r="E829" s="2"/>
      <c r="F829" s="2"/>
      <c r="G829" s="2"/>
    </row>
    <row r="830" spans="3:7" ht="14.25" customHeight="1" x14ac:dyDescent="0.55000000000000004">
      <c r="C830" s="2"/>
      <c r="D830" s="2"/>
      <c r="E830" s="2"/>
      <c r="F830" s="2"/>
      <c r="G830" s="2"/>
    </row>
    <row r="831" spans="3:7" ht="14.25" customHeight="1" x14ac:dyDescent="0.55000000000000004">
      <c r="C831" s="2"/>
      <c r="D831" s="2"/>
      <c r="E831" s="2"/>
      <c r="F831" s="2"/>
      <c r="G831" s="2"/>
    </row>
    <row r="832" spans="3:7" ht="14.25" customHeight="1" x14ac:dyDescent="0.55000000000000004">
      <c r="C832" s="2"/>
      <c r="D832" s="2"/>
      <c r="E832" s="2"/>
      <c r="F832" s="2"/>
      <c r="G832" s="2"/>
    </row>
    <row r="833" spans="3:7" ht="14.25" customHeight="1" x14ac:dyDescent="0.55000000000000004">
      <c r="C833" s="2"/>
      <c r="D833" s="2"/>
      <c r="E833" s="2"/>
      <c r="F833" s="2"/>
      <c r="G833" s="2"/>
    </row>
    <row r="834" spans="3:7" ht="14.25" customHeight="1" x14ac:dyDescent="0.55000000000000004">
      <c r="C834" s="2"/>
      <c r="D834" s="2"/>
      <c r="E834" s="2"/>
      <c r="F834" s="2"/>
      <c r="G834" s="2"/>
    </row>
    <row r="835" spans="3:7" ht="14.25" customHeight="1" x14ac:dyDescent="0.55000000000000004">
      <c r="C835" s="2"/>
      <c r="D835" s="2"/>
      <c r="E835" s="2"/>
      <c r="F835" s="2"/>
      <c r="G835" s="2"/>
    </row>
    <row r="836" spans="3:7" ht="14.25" customHeight="1" x14ac:dyDescent="0.55000000000000004">
      <c r="C836" s="2"/>
      <c r="D836" s="2"/>
      <c r="E836" s="2"/>
      <c r="F836" s="2"/>
      <c r="G836" s="2"/>
    </row>
    <row r="837" spans="3:7" ht="14.25" customHeight="1" x14ac:dyDescent="0.55000000000000004">
      <c r="C837" s="2"/>
      <c r="D837" s="2"/>
      <c r="E837" s="2"/>
      <c r="F837" s="2"/>
      <c r="G837" s="2"/>
    </row>
    <row r="838" spans="3:7" ht="14.25" customHeight="1" x14ac:dyDescent="0.55000000000000004">
      <c r="C838" s="2"/>
      <c r="D838" s="2"/>
      <c r="E838" s="2"/>
      <c r="F838" s="2"/>
      <c r="G838" s="2"/>
    </row>
    <row r="839" spans="3:7" ht="14.25" customHeight="1" x14ac:dyDescent="0.55000000000000004">
      <c r="C839" s="2"/>
      <c r="D839" s="2"/>
      <c r="E839" s="2"/>
      <c r="F839" s="2"/>
      <c r="G839" s="2"/>
    </row>
    <row r="840" spans="3:7" ht="14.25" customHeight="1" x14ac:dyDescent="0.55000000000000004">
      <c r="C840" s="2"/>
      <c r="D840" s="2"/>
      <c r="E840" s="2"/>
      <c r="F840" s="2"/>
      <c r="G840" s="2"/>
    </row>
    <row r="841" spans="3:7" ht="14.25" customHeight="1" x14ac:dyDescent="0.55000000000000004">
      <c r="C841" s="2"/>
      <c r="D841" s="2"/>
      <c r="E841" s="2"/>
      <c r="F841" s="2"/>
      <c r="G841" s="2"/>
    </row>
    <row r="842" spans="3:7" ht="14.25" customHeight="1" x14ac:dyDescent="0.55000000000000004">
      <c r="C842" s="2"/>
      <c r="D842" s="2"/>
      <c r="E842" s="2"/>
      <c r="F842" s="2"/>
      <c r="G842" s="2"/>
    </row>
    <row r="843" spans="3:7" ht="14.25" customHeight="1" x14ac:dyDescent="0.55000000000000004">
      <c r="C843" s="2"/>
      <c r="D843" s="2"/>
      <c r="E843" s="2"/>
      <c r="F843" s="2"/>
      <c r="G843" s="2"/>
    </row>
    <row r="844" spans="3:7" ht="14.25" customHeight="1" x14ac:dyDescent="0.55000000000000004">
      <c r="C844" s="2"/>
      <c r="D844" s="2"/>
      <c r="E844" s="2"/>
      <c r="F844" s="2"/>
      <c r="G844" s="2"/>
    </row>
    <row r="845" spans="3:7" ht="14.25" customHeight="1" x14ac:dyDescent="0.55000000000000004">
      <c r="C845" s="2"/>
      <c r="D845" s="2"/>
      <c r="E845" s="2"/>
      <c r="F845" s="2"/>
      <c r="G845" s="2"/>
    </row>
    <row r="846" spans="3:7" ht="14.25" customHeight="1" x14ac:dyDescent="0.55000000000000004">
      <c r="C846" s="2"/>
      <c r="D846" s="2"/>
      <c r="E846" s="2"/>
      <c r="F846" s="2"/>
      <c r="G846" s="2"/>
    </row>
    <row r="847" spans="3:7" ht="14.25" customHeight="1" x14ac:dyDescent="0.55000000000000004">
      <c r="C847" s="2"/>
      <c r="D847" s="2"/>
      <c r="E847" s="2"/>
      <c r="F847" s="2"/>
      <c r="G847" s="2"/>
    </row>
    <row r="848" spans="3:7" ht="14.25" customHeight="1" x14ac:dyDescent="0.55000000000000004">
      <c r="C848" s="2"/>
      <c r="D848" s="2"/>
      <c r="E848" s="2"/>
      <c r="F848" s="2"/>
      <c r="G848" s="2"/>
    </row>
    <row r="849" spans="3:7" ht="14.25" customHeight="1" x14ac:dyDescent="0.55000000000000004">
      <c r="C849" s="2"/>
      <c r="D849" s="2"/>
      <c r="E849" s="2"/>
      <c r="F849" s="2"/>
      <c r="G849" s="2"/>
    </row>
    <row r="850" spans="3:7" ht="14.25" customHeight="1" x14ac:dyDescent="0.55000000000000004">
      <c r="C850" s="2"/>
      <c r="D850" s="2"/>
      <c r="E850" s="2"/>
      <c r="F850" s="2"/>
      <c r="G850" s="2"/>
    </row>
    <row r="851" spans="3:7" ht="14.25" customHeight="1" x14ac:dyDescent="0.55000000000000004">
      <c r="C851" s="2"/>
      <c r="D851" s="2"/>
      <c r="E851" s="2"/>
      <c r="F851" s="2"/>
      <c r="G851" s="2"/>
    </row>
    <row r="852" spans="3:7" ht="14.25" customHeight="1" x14ac:dyDescent="0.55000000000000004">
      <c r="C852" s="2"/>
      <c r="D852" s="2"/>
      <c r="E852" s="2"/>
      <c r="F852" s="2"/>
      <c r="G852" s="2"/>
    </row>
    <row r="853" spans="3:7" ht="14.25" customHeight="1" x14ac:dyDescent="0.55000000000000004">
      <c r="C853" s="2"/>
      <c r="D853" s="2"/>
      <c r="E853" s="2"/>
      <c r="F853" s="2"/>
      <c r="G853" s="2"/>
    </row>
    <row r="854" spans="3:7" ht="14.25" customHeight="1" x14ac:dyDescent="0.55000000000000004">
      <c r="C854" s="2"/>
      <c r="D854" s="2"/>
      <c r="E854" s="2"/>
      <c r="F854" s="2"/>
      <c r="G854" s="2"/>
    </row>
    <row r="855" spans="3:7" ht="14.25" customHeight="1" x14ac:dyDescent="0.55000000000000004">
      <c r="C855" s="2"/>
      <c r="D855" s="2"/>
      <c r="E855" s="2"/>
      <c r="F855" s="2"/>
      <c r="G855" s="2"/>
    </row>
    <row r="856" spans="3:7" ht="14.25" customHeight="1" x14ac:dyDescent="0.55000000000000004">
      <c r="C856" s="2"/>
      <c r="D856" s="2"/>
      <c r="E856" s="2"/>
      <c r="F856" s="2"/>
      <c r="G856" s="2"/>
    </row>
    <row r="857" spans="3:7" ht="14.25" customHeight="1" x14ac:dyDescent="0.55000000000000004">
      <c r="C857" s="2"/>
      <c r="D857" s="2"/>
      <c r="E857" s="2"/>
      <c r="F857" s="2"/>
      <c r="G857" s="2"/>
    </row>
    <row r="858" spans="3:7" ht="14.25" customHeight="1" x14ac:dyDescent="0.55000000000000004">
      <c r="C858" s="2"/>
      <c r="D858" s="2"/>
      <c r="E858" s="2"/>
      <c r="F858" s="2"/>
      <c r="G858" s="2"/>
    </row>
    <row r="859" spans="3:7" ht="14.25" customHeight="1" x14ac:dyDescent="0.55000000000000004">
      <c r="C859" s="2"/>
      <c r="D859" s="2"/>
      <c r="E859" s="2"/>
      <c r="F859" s="2"/>
      <c r="G859" s="2"/>
    </row>
    <row r="860" spans="3:7" ht="14.25" customHeight="1" x14ac:dyDescent="0.55000000000000004">
      <c r="C860" s="2"/>
      <c r="D860" s="2"/>
      <c r="E860" s="2"/>
      <c r="F860" s="2"/>
      <c r="G860" s="2"/>
    </row>
    <row r="861" spans="3:7" ht="14.25" customHeight="1" x14ac:dyDescent="0.55000000000000004">
      <c r="C861" s="2"/>
      <c r="D861" s="2"/>
      <c r="E861" s="2"/>
      <c r="F861" s="2"/>
      <c r="G861" s="2"/>
    </row>
    <row r="862" spans="3:7" ht="14.25" customHeight="1" x14ac:dyDescent="0.55000000000000004">
      <c r="C862" s="2"/>
      <c r="D862" s="2"/>
      <c r="E862" s="2"/>
      <c r="F862" s="2"/>
      <c r="G862" s="2"/>
    </row>
    <row r="863" spans="3:7" ht="14.25" customHeight="1" x14ac:dyDescent="0.55000000000000004">
      <c r="C863" s="2"/>
      <c r="D863" s="2"/>
      <c r="E863" s="2"/>
      <c r="F863" s="2"/>
      <c r="G863" s="2"/>
    </row>
    <row r="864" spans="3:7" ht="14.25" customHeight="1" x14ac:dyDescent="0.55000000000000004">
      <c r="C864" s="2"/>
      <c r="D864" s="2"/>
      <c r="E864" s="2"/>
      <c r="F864" s="2"/>
      <c r="G864" s="2"/>
    </row>
    <row r="865" spans="3:7" ht="14.25" customHeight="1" x14ac:dyDescent="0.55000000000000004">
      <c r="C865" s="2"/>
      <c r="D865" s="2"/>
      <c r="E865" s="2"/>
      <c r="F865" s="2"/>
      <c r="G865" s="2"/>
    </row>
    <row r="866" spans="3:7" ht="14.25" customHeight="1" x14ac:dyDescent="0.55000000000000004">
      <c r="C866" s="2"/>
      <c r="D866" s="2"/>
      <c r="E866" s="2"/>
      <c r="F866" s="2"/>
      <c r="G866" s="2"/>
    </row>
    <row r="867" spans="3:7" ht="14.25" customHeight="1" x14ac:dyDescent="0.55000000000000004">
      <c r="C867" s="2"/>
      <c r="D867" s="2"/>
      <c r="E867" s="2"/>
      <c r="F867" s="2"/>
      <c r="G867" s="2"/>
    </row>
    <row r="868" spans="3:7" ht="14.25" customHeight="1" x14ac:dyDescent="0.55000000000000004">
      <c r="C868" s="2"/>
      <c r="D868" s="2"/>
      <c r="E868" s="2"/>
      <c r="F868" s="2"/>
      <c r="G868" s="2"/>
    </row>
    <row r="869" spans="3:7" ht="14.25" customHeight="1" x14ac:dyDescent="0.55000000000000004">
      <c r="C869" s="2"/>
      <c r="D869" s="2"/>
      <c r="E869" s="2"/>
      <c r="F869" s="2"/>
      <c r="G869" s="2"/>
    </row>
    <row r="870" spans="3:7" ht="14.25" customHeight="1" x14ac:dyDescent="0.55000000000000004">
      <c r="C870" s="2"/>
      <c r="D870" s="2"/>
      <c r="E870" s="2"/>
      <c r="F870" s="2"/>
      <c r="G870" s="2"/>
    </row>
    <row r="871" spans="3:7" ht="14.25" customHeight="1" x14ac:dyDescent="0.55000000000000004">
      <c r="C871" s="2"/>
      <c r="D871" s="2"/>
      <c r="E871" s="2"/>
      <c r="F871" s="2"/>
      <c r="G871" s="2"/>
    </row>
    <row r="872" spans="3:7" ht="14.25" customHeight="1" x14ac:dyDescent="0.55000000000000004">
      <c r="C872" s="2"/>
      <c r="D872" s="2"/>
      <c r="E872" s="2"/>
      <c r="F872" s="2"/>
      <c r="G872" s="2"/>
    </row>
    <row r="873" spans="3:7" ht="14.25" customHeight="1" x14ac:dyDescent="0.55000000000000004">
      <c r="C873" s="2"/>
      <c r="D873" s="2"/>
      <c r="E873" s="2"/>
      <c r="F873" s="2"/>
      <c r="G873" s="2"/>
    </row>
    <row r="874" spans="3:7" ht="14.25" customHeight="1" x14ac:dyDescent="0.55000000000000004">
      <c r="C874" s="2"/>
      <c r="D874" s="2"/>
      <c r="E874" s="2"/>
      <c r="F874" s="2"/>
      <c r="G874" s="2"/>
    </row>
    <row r="875" spans="3:7" ht="14.25" customHeight="1" x14ac:dyDescent="0.55000000000000004">
      <c r="C875" s="2"/>
      <c r="D875" s="2"/>
      <c r="E875" s="2"/>
      <c r="F875" s="2"/>
      <c r="G875" s="2"/>
    </row>
    <row r="876" spans="3:7" ht="14.25" customHeight="1" x14ac:dyDescent="0.55000000000000004">
      <c r="C876" s="2"/>
      <c r="D876" s="2"/>
      <c r="E876" s="2"/>
      <c r="F876" s="2"/>
      <c r="G876" s="2"/>
    </row>
    <row r="877" spans="3:7" ht="14.25" customHeight="1" x14ac:dyDescent="0.55000000000000004">
      <c r="C877" s="2"/>
      <c r="D877" s="2"/>
      <c r="E877" s="2"/>
      <c r="F877" s="2"/>
      <c r="G877" s="2"/>
    </row>
    <row r="878" spans="3:7" ht="14.25" customHeight="1" x14ac:dyDescent="0.55000000000000004">
      <c r="C878" s="2"/>
      <c r="D878" s="2"/>
      <c r="E878" s="2"/>
      <c r="F878" s="2"/>
      <c r="G878" s="2"/>
    </row>
    <row r="879" spans="3:7" ht="14.25" customHeight="1" x14ac:dyDescent="0.55000000000000004">
      <c r="C879" s="2"/>
      <c r="D879" s="2"/>
      <c r="E879" s="2"/>
      <c r="F879" s="2"/>
      <c r="G879" s="2"/>
    </row>
    <row r="880" spans="3:7" ht="14.25" customHeight="1" x14ac:dyDescent="0.55000000000000004">
      <c r="C880" s="2"/>
      <c r="D880" s="2"/>
      <c r="E880" s="2"/>
      <c r="F880" s="2"/>
      <c r="G880" s="2"/>
    </row>
    <row r="881" spans="3:7" ht="14.25" customHeight="1" x14ac:dyDescent="0.55000000000000004">
      <c r="C881" s="2"/>
      <c r="D881" s="2"/>
      <c r="E881" s="2"/>
      <c r="F881" s="2"/>
      <c r="G881" s="2"/>
    </row>
    <row r="882" spans="3:7" ht="14.25" customHeight="1" x14ac:dyDescent="0.55000000000000004">
      <c r="C882" s="2"/>
      <c r="D882" s="2"/>
      <c r="E882" s="2"/>
      <c r="F882" s="2"/>
      <c r="G882" s="2"/>
    </row>
    <row r="883" spans="3:7" ht="14.25" customHeight="1" x14ac:dyDescent="0.55000000000000004">
      <c r="C883" s="2"/>
      <c r="D883" s="2"/>
      <c r="E883" s="2"/>
      <c r="F883" s="2"/>
      <c r="G883" s="2"/>
    </row>
    <row r="884" spans="3:7" ht="14.25" customHeight="1" x14ac:dyDescent="0.55000000000000004">
      <c r="C884" s="2"/>
      <c r="D884" s="2"/>
      <c r="E884" s="2"/>
      <c r="F884" s="2"/>
      <c r="G884" s="2"/>
    </row>
    <row r="885" spans="3:7" ht="14.25" customHeight="1" x14ac:dyDescent="0.55000000000000004">
      <c r="C885" s="2"/>
      <c r="D885" s="2"/>
      <c r="E885" s="2"/>
      <c r="F885" s="2"/>
      <c r="G885" s="2"/>
    </row>
    <row r="886" spans="3:7" ht="14.25" customHeight="1" x14ac:dyDescent="0.55000000000000004">
      <c r="C886" s="2"/>
      <c r="D886" s="2"/>
      <c r="E886" s="2"/>
      <c r="F886" s="2"/>
      <c r="G886" s="2"/>
    </row>
    <row r="887" spans="3:7" ht="14.25" customHeight="1" x14ac:dyDescent="0.55000000000000004">
      <c r="C887" s="2"/>
      <c r="D887" s="2"/>
      <c r="E887" s="2"/>
      <c r="F887" s="2"/>
      <c r="G887" s="2"/>
    </row>
    <row r="888" spans="3:7" ht="14.25" customHeight="1" x14ac:dyDescent="0.55000000000000004">
      <c r="C888" s="2"/>
      <c r="D888" s="2"/>
      <c r="E888" s="2"/>
      <c r="F888" s="2"/>
      <c r="G888" s="2"/>
    </row>
    <row r="889" spans="3:7" ht="14.25" customHeight="1" x14ac:dyDescent="0.55000000000000004">
      <c r="C889" s="2"/>
      <c r="D889" s="2"/>
      <c r="E889" s="2"/>
      <c r="F889" s="2"/>
      <c r="G889" s="2"/>
    </row>
    <row r="890" spans="3:7" ht="14.25" customHeight="1" x14ac:dyDescent="0.55000000000000004">
      <c r="C890" s="2"/>
      <c r="D890" s="2"/>
      <c r="E890" s="2"/>
      <c r="F890" s="2"/>
      <c r="G890" s="2"/>
    </row>
    <row r="891" spans="3:7" ht="14.25" customHeight="1" x14ac:dyDescent="0.55000000000000004">
      <c r="C891" s="2"/>
      <c r="D891" s="2"/>
      <c r="E891" s="2"/>
      <c r="F891" s="2"/>
      <c r="G891" s="2"/>
    </row>
    <row r="892" spans="3:7" ht="14.25" customHeight="1" x14ac:dyDescent="0.55000000000000004">
      <c r="C892" s="2"/>
      <c r="D892" s="2"/>
      <c r="E892" s="2"/>
      <c r="F892" s="2"/>
      <c r="G892" s="2"/>
    </row>
    <row r="893" spans="3:7" ht="14.25" customHeight="1" x14ac:dyDescent="0.55000000000000004">
      <c r="C893" s="2"/>
      <c r="D893" s="2"/>
      <c r="E893" s="2"/>
      <c r="F893" s="2"/>
      <c r="G893" s="2"/>
    </row>
    <row r="894" spans="3:7" ht="14.25" customHeight="1" x14ac:dyDescent="0.55000000000000004">
      <c r="C894" s="2"/>
      <c r="D894" s="2"/>
      <c r="E894" s="2"/>
      <c r="F894" s="2"/>
      <c r="G894" s="2"/>
    </row>
    <row r="895" spans="3:7" ht="14.25" customHeight="1" x14ac:dyDescent="0.55000000000000004">
      <c r="C895" s="2"/>
      <c r="D895" s="2"/>
      <c r="E895" s="2"/>
      <c r="F895" s="2"/>
      <c r="G895" s="2"/>
    </row>
    <row r="896" spans="3:7" ht="14.25" customHeight="1" x14ac:dyDescent="0.55000000000000004">
      <c r="C896" s="2"/>
      <c r="D896" s="2"/>
      <c r="E896" s="2"/>
      <c r="F896" s="2"/>
      <c r="G896" s="2"/>
    </row>
    <row r="897" spans="3:7" ht="14.25" customHeight="1" x14ac:dyDescent="0.55000000000000004">
      <c r="C897" s="2"/>
      <c r="D897" s="2"/>
      <c r="E897" s="2"/>
      <c r="F897" s="2"/>
      <c r="G897" s="2"/>
    </row>
    <row r="898" spans="3:7" ht="14.25" customHeight="1" x14ac:dyDescent="0.55000000000000004">
      <c r="C898" s="2"/>
      <c r="D898" s="2"/>
      <c r="E898" s="2"/>
      <c r="F898" s="2"/>
      <c r="G898" s="2"/>
    </row>
    <row r="899" spans="3:7" ht="14.25" customHeight="1" x14ac:dyDescent="0.55000000000000004">
      <c r="C899" s="2"/>
      <c r="D899" s="2"/>
      <c r="E899" s="2"/>
      <c r="F899" s="2"/>
      <c r="G899" s="2"/>
    </row>
    <row r="900" spans="3:7" ht="14.25" customHeight="1" x14ac:dyDescent="0.55000000000000004">
      <c r="C900" s="2"/>
      <c r="D900" s="2"/>
      <c r="E900" s="2"/>
      <c r="F900" s="2"/>
      <c r="G900" s="2"/>
    </row>
    <row r="901" spans="3:7" ht="14.25" customHeight="1" x14ac:dyDescent="0.55000000000000004">
      <c r="C901" s="2"/>
      <c r="D901" s="2"/>
      <c r="E901" s="2"/>
      <c r="F901" s="2"/>
      <c r="G901" s="2"/>
    </row>
    <row r="902" spans="3:7" ht="14.25" customHeight="1" x14ac:dyDescent="0.55000000000000004">
      <c r="C902" s="2"/>
      <c r="D902" s="2"/>
      <c r="E902" s="2"/>
      <c r="F902" s="2"/>
      <c r="G902" s="2"/>
    </row>
    <row r="903" spans="3:7" ht="14.25" customHeight="1" x14ac:dyDescent="0.55000000000000004">
      <c r="C903" s="2"/>
      <c r="D903" s="2"/>
      <c r="E903" s="2"/>
      <c r="F903" s="2"/>
      <c r="G903" s="2"/>
    </row>
    <row r="904" spans="3:7" ht="14.25" customHeight="1" x14ac:dyDescent="0.55000000000000004">
      <c r="C904" s="2"/>
      <c r="D904" s="2"/>
      <c r="E904" s="2"/>
      <c r="F904" s="2"/>
      <c r="G904" s="2"/>
    </row>
    <row r="905" spans="3:7" ht="14.25" customHeight="1" x14ac:dyDescent="0.55000000000000004">
      <c r="C905" s="2"/>
      <c r="D905" s="2"/>
      <c r="E905" s="2"/>
      <c r="F905" s="2"/>
      <c r="G905" s="2"/>
    </row>
    <row r="906" spans="3:7" ht="14.25" customHeight="1" x14ac:dyDescent="0.55000000000000004">
      <c r="C906" s="2"/>
      <c r="D906" s="2"/>
      <c r="E906" s="2"/>
      <c r="F906" s="2"/>
      <c r="G906" s="2"/>
    </row>
    <row r="907" spans="3:7" ht="14.25" customHeight="1" x14ac:dyDescent="0.55000000000000004">
      <c r="C907" s="2"/>
      <c r="D907" s="2"/>
      <c r="E907" s="2"/>
      <c r="F907" s="2"/>
      <c r="G907" s="2"/>
    </row>
    <row r="908" spans="3:7" ht="14.25" customHeight="1" x14ac:dyDescent="0.55000000000000004">
      <c r="C908" s="2"/>
      <c r="D908" s="2"/>
      <c r="E908" s="2"/>
      <c r="F908" s="2"/>
      <c r="G908" s="2"/>
    </row>
    <row r="909" spans="3:7" ht="14.25" customHeight="1" x14ac:dyDescent="0.55000000000000004">
      <c r="C909" s="2"/>
      <c r="D909" s="2"/>
      <c r="E909" s="2"/>
      <c r="F909" s="2"/>
      <c r="G909" s="2"/>
    </row>
    <row r="910" spans="3:7" ht="14.25" customHeight="1" x14ac:dyDescent="0.55000000000000004">
      <c r="C910" s="2"/>
      <c r="D910" s="2"/>
      <c r="E910" s="2"/>
      <c r="F910" s="2"/>
      <c r="G910" s="2"/>
    </row>
    <row r="911" spans="3:7" ht="14.25" customHeight="1" x14ac:dyDescent="0.55000000000000004">
      <c r="C911" s="2"/>
      <c r="D911" s="2"/>
      <c r="E911" s="2"/>
      <c r="F911" s="2"/>
      <c r="G911" s="2"/>
    </row>
    <row r="912" spans="3:7" ht="14.25" customHeight="1" x14ac:dyDescent="0.55000000000000004">
      <c r="C912" s="2"/>
      <c r="D912" s="2"/>
      <c r="E912" s="2"/>
      <c r="F912" s="2"/>
      <c r="G912" s="2"/>
    </row>
    <row r="913" spans="3:7" ht="14.25" customHeight="1" x14ac:dyDescent="0.55000000000000004">
      <c r="C913" s="2"/>
      <c r="D913" s="2"/>
      <c r="E913" s="2"/>
      <c r="F913" s="2"/>
      <c r="G913" s="2"/>
    </row>
    <row r="914" spans="3:7" ht="14.25" customHeight="1" x14ac:dyDescent="0.55000000000000004">
      <c r="C914" s="2"/>
      <c r="D914" s="2"/>
      <c r="E914" s="2"/>
      <c r="F914" s="2"/>
      <c r="G914" s="2"/>
    </row>
    <row r="915" spans="3:7" ht="14.25" customHeight="1" x14ac:dyDescent="0.55000000000000004">
      <c r="C915" s="2"/>
      <c r="D915" s="2"/>
      <c r="E915" s="2"/>
      <c r="F915" s="2"/>
      <c r="G915" s="2"/>
    </row>
    <row r="916" spans="3:7" ht="14.25" customHeight="1" x14ac:dyDescent="0.55000000000000004">
      <c r="C916" s="2"/>
      <c r="D916" s="2"/>
      <c r="E916" s="2"/>
      <c r="F916" s="2"/>
      <c r="G916" s="2"/>
    </row>
    <row r="917" spans="3:7" ht="14.25" customHeight="1" x14ac:dyDescent="0.55000000000000004">
      <c r="C917" s="2"/>
      <c r="D917" s="2"/>
      <c r="E917" s="2"/>
      <c r="F917" s="2"/>
      <c r="G917" s="2"/>
    </row>
    <row r="918" spans="3:7" ht="14.25" customHeight="1" x14ac:dyDescent="0.55000000000000004">
      <c r="C918" s="2"/>
      <c r="D918" s="2"/>
      <c r="E918" s="2"/>
      <c r="F918" s="2"/>
      <c r="G918" s="2"/>
    </row>
    <row r="919" spans="3:7" ht="14.25" customHeight="1" x14ac:dyDescent="0.55000000000000004">
      <c r="C919" s="2"/>
      <c r="D919" s="2"/>
      <c r="E919" s="2"/>
      <c r="F919" s="2"/>
      <c r="G919" s="2"/>
    </row>
    <row r="920" spans="3:7" ht="14.25" customHeight="1" x14ac:dyDescent="0.55000000000000004">
      <c r="C920" s="2"/>
      <c r="D920" s="2"/>
      <c r="E920" s="2"/>
      <c r="F920" s="2"/>
      <c r="G920" s="2"/>
    </row>
    <row r="921" spans="3:7" ht="14.25" customHeight="1" x14ac:dyDescent="0.55000000000000004">
      <c r="C921" s="2"/>
      <c r="D921" s="2"/>
      <c r="E921" s="2"/>
      <c r="F921" s="2"/>
      <c r="G921" s="2"/>
    </row>
    <row r="922" spans="3:7" ht="14.25" customHeight="1" x14ac:dyDescent="0.55000000000000004">
      <c r="C922" s="2"/>
      <c r="D922" s="2"/>
      <c r="E922" s="2"/>
      <c r="F922" s="2"/>
      <c r="G922" s="2"/>
    </row>
    <row r="923" spans="3:7" ht="14.25" customHeight="1" x14ac:dyDescent="0.55000000000000004">
      <c r="C923" s="2"/>
      <c r="D923" s="2"/>
      <c r="E923" s="2"/>
      <c r="F923" s="2"/>
      <c r="G923" s="2"/>
    </row>
    <row r="924" spans="3:7" ht="14.25" customHeight="1" x14ac:dyDescent="0.55000000000000004">
      <c r="C924" s="2"/>
      <c r="D924" s="2"/>
      <c r="E924" s="2"/>
      <c r="F924" s="2"/>
      <c r="G924" s="2"/>
    </row>
    <row r="925" spans="3:7" ht="14.25" customHeight="1" x14ac:dyDescent="0.55000000000000004">
      <c r="C925" s="2"/>
      <c r="D925" s="2"/>
      <c r="E925" s="2"/>
      <c r="F925" s="2"/>
      <c r="G925" s="2"/>
    </row>
    <row r="926" spans="3:7" ht="14.25" customHeight="1" x14ac:dyDescent="0.55000000000000004">
      <c r="C926" s="2"/>
      <c r="D926" s="2"/>
      <c r="E926" s="2"/>
      <c r="F926" s="2"/>
      <c r="G926" s="2"/>
    </row>
    <row r="927" spans="3:7" ht="14.25" customHeight="1" x14ac:dyDescent="0.55000000000000004">
      <c r="C927" s="2"/>
      <c r="D927" s="2"/>
      <c r="E927" s="2"/>
      <c r="F927" s="2"/>
      <c r="G927" s="2"/>
    </row>
    <row r="928" spans="3:7" ht="14.25" customHeight="1" x14ac:dyDescent="0.55000000000000004">
      <c r="C928" s="2"/>
      <c r="D928" s="2"/>
      <c r="E928" s="2"/>
      <c r="F928" s="2"/>
      <c r="G928" s="2"/>
    </row>
    <row r="929" spans="3:7" ht="14.25" customHeight="1" x14ac:dyDescent="0.55000000000000004">
      <c r="C929" s="2"/>
      <c r="D929" s="2"/>
      <c r="E929" s="2"/>
      <c r="F929" s="2"/>
      <c r="G929" s="2"/>
    </row>
    <row r="930" spans="3:7" ht="14.25" customHeight="1" x14ac:dyDescent="0.55000000000000004">
      <c r="C930" s="2"/>
      <c r="D930" s="2"/>
      <c r="E930" s="2"/>
      <c r="F930" s="2"/>
      <c r="G930" s="2"/>
    </row>
    <row r="931" spans="3:7" ht="14.25" customHeight="1" x14ac:dyDescent="0.55000000000000004">
      <c r="C931" s="2"/>
      <c r="D931" s="2"/>
      <c r="E931" s="2"/>
      <c r="F931" s="2"/>
      <c r="G931" s="2"/>
    </row>
    <row r="932" spans="3:7" ht="14.25" customHeight="1" x14ac:dyDescent="0.55000000000000004">
      <c r="C932" s="2"/>
      <c r="D932" s="2"/>
      <c r="E932" s="2"/>
      <c r="F932" s="2"/>
      <c r="G932" s="2"/>
    </row>
    <row r="933" spans="3:7" ht="14.25" customHeight="1" x14ac:dyDescent="0.55000000000000004">
      <c r="C933" s="2"/>
      <c r="D933" s="2"/>
      <c r="E933" s="2"/>
      <c r="F933" s="2"/>
      <c r="G933" s="2"/>
    </row>
    <row r="934" spans="3:7" ht="14.25" customHeight="1" x14ac:dyDescent="0.55000000000000004">
      <c r="C934" s="2"/>
      <c r="D934" s="2"/>
      <c r="E934" s="2"/>
      <c r="F934" s="2"/>
      <c r="G934" s="2"/>
    </row>
    <row r="935" spans="3:7" ht="14.25" customHeight="1" x14ac:dyDescent="0.55000000000000004">
      <c r="C935" s="2"/>
      <c r="D935" s="2"/>
      <c r="E935" s="2"/>
      <c r="F935" s="2"/>
      <c r="G935" s="2"/>
    </row>
    <row r="936" spans="3:7" ht="14.25" customHeight="1" x14ac:dyDescent="0.55000000000000004">
      <c r="C936" s="2"/>
      <c r="D936" s="2"/>
      <c r="E936" s="2"/>
      <c r="F936" s="2"/>
      <c r="G936" s="2"/>
    </row>
    <row r="937" spans="3:7" ht="14.25" customHeight="1" x14ac:dyDescent="0.55000000000000004">
      <c r="C937" s="2"/>
      <c r="D937" s="2"/>
      <c r="E937" s="2"/>
      <c r="F937" s="2"/>
      <c r="G937" s="2"/>
    </row>
    <row r="938" spans="3:7" ht="14.25" customHeight="1" x14ac:dyDescent="0.55000000000000004">
      <c r="C938" s="2"/>
      <c r="D938" s="2"/>
      <c r="E938" s="2"/>
      <c r="F938" s="2"/>
      <c r="G938" s="2"/>
    </row>
    <row r="939" spans="3:7" ht="14.25" customHeight="1" x14ac:dyDescent="0.55000000000000004">
      <c r="C939" s="2"/>
      <c r="D939" s="2"/>
      <c r="E939" s="2"/>
      <c r="F939" s="2"/>
      <c r="G939" s="2"/>
    </row>
    <row r="940" spans="3:7" ht="14.25" customHeight="1" x14ac:dyDescent="0.55000000000000004">
      <c r="C940" s="2"/>
      <c r="D940" s="2"/>
      <c r="E940" s="2"/>
      <c r="F940" s="2"/>
      <c r="G940" s="2"/>
    </row>
    <row r="941" spans="3:7" ht="14.25" customHeight="1" x14ac:dyDescent="0.55000000000000004">
      <c r="C941" s="2"/>
      <c r="D941" s="2"/>
      <c r="E941" s="2"/>
      <c r="F941" s="2"/>
      <c r="G941" s="2"/>
    </row>
    <row r="942" spans="3:7" ht="14.25" customHeight="1" x14ac:dyDescent="0.55000000000000004">
      <c r="C942" s="2"/>
      <c r="D942" s="2"/>
      <c r="E942" s="2"/>
      <c r="F942" s="2"/>
      <c r="G942" s="2"/>
    </row>
    <row r="943" spans="3:7" ht="14.25" customHeight="1" x14ac:dyDescent="0.55000000000000004">
      <c r="C943" s="2"/>
      <c r="D943" s="2"/>
      <c r="E943" s="2"/>
      <c r="F943" s="2"/>
      <c r="G943" s="2"/>
    </row>
    <row r="944" spans="3:7" ht="14.25" customHeight="1" x14ac:dyDescent="0.55000000000000004">
      <c r="C944" s="2"/>
      <c r="D944" s="2"/>
      <c r="E944" s="2"/>
      <c r="F944" s="2"/>
      <c r="G944" s="2"/>
    </row>
    <row r="945" spans="3:7" ht="14.25" customHeight="1" x14ac:dyDescent="0.55000000000000004">
      <c r="C945" s="2"/>
      <c r="D945" s="2"/>
      <c r="E945" s="2"/>
      <c r="F945" s="2"/>
      <c r="G945" s="2"/>
    </row>
    <row r="946" spans="3:7" ht="14.25" customHeight="1" x14ac:dyDescent="0.55000000000000004">
      <c r="C946" s="2"/>
      <c r="D946" s="2"/>
      <c r="E946" s="2"/>
      <c r="F946" s="2"/>
      <c r="G946" s="2"/>
    </row>
    <row r="947" spans="3:7" ht="14.25" customHeight="1" x14ac:dyDescent="0.55000000000000004">
      <c r="C947" s="2"/>
      <c r="D947" s="2"/>
      <c r="E947" s="2"/>
      <c r="F947" s="2"/>
      <c r="G947" s="2"/>
    </row>
    <row r="948" spans="3:7" ht="14.25" customHeight="1" x14ac:dyDescent="0.55000000000000004">
      <c r="C948" s="2"/>
      <c r="D948" s="2"/>
      <c r="E948" s="2"/>
      <c r="F948" s="2"/>
      <c r="G948" s="2"/>
    </row>
    <row r="949" spans="3:7" ht="14.25" customHeight="1" x14ac:dyDescent="0.55000000000000004">
      <c r="C949" s="2"/>
      <c r="D949" s="2"/>
      <c r="E949" s="2"/>
      <c r="F949" s="2"/>
      <c r="G949" s="2"/>
    </row>
    <row r="950" spans="3:7" ht="14.25" customHeight="1" x14ac:dyDescent="0.55000000000000004">
      <c r="C950" s="2"/>
      <c r="D950" s="2"/>
      <c r="E950" s="2"/>
      <c r="F950" s="2"/>
      <c r="G950" s="2"/>
    </row>
    <row r="951" spans="3:7" ht="14.25" customHeight="1" x14ac:dyDescent="0.55000000000000004">
      <c r="C951" s="2"/>
      <c r="D951" s="2"/>
      <c r="E951" s="2"/>
      <c r="F951" s="2"/>
      <c r="G951" s="2"/>
    </row>
    <row r="952" spans="3:7" ht="14.25" customHeight="1" x14ac:dyDescent="0.55000000000000004">
      <c r="C952" s="2"/>
      <c r="D952" s="2"/>
      <c r="E952" s="2"/>
      <c r="F952" s="2"/>
      <c r="G952" s="2"/>
    </row>
    <row r="953" spans="3:7" ht="14.25" customHeight="1" x14ac:dyDescent="0.55000000000000004">
      <c r="C953" s="2"/>
      <c r="D953" s="2"/>
      <c r="E953" s="2"/>
      <c r="F953" s="2"/>
      <c r="G953" s="2"/>
    </row>
    <row r="954" spans="3:7" ht="14.25" customHeight="1" x14ac:dyDescent="0.55000000000000004">
      <c r="C954" s="2"/>
      <c r="D954" s="2"/>
      <c r="E954" s="2"/>
      <c r="F954" s="2"/>
      <c r="G954" s="2"/>
    </row>
    <row r="955" spans="3:7" ht="14.25" customHeight="1" x14ac:dyDescent="0.55000000000000004">
      <c r="C955" s="2"/>
      <c r="D955" s="2"/>
      <c r="E955" s="2"/>
      <c r="F955" s="2"/>
      <c r="G955" s="2"/>
    </row>
    <row r="956" spans="3:7" ht="14.25" customHeight="1" x14ac:dyDescent="0.55000000000000004">
      <c r="C956" s="2"/>
      <c r="D956" s="2"/>
      <c r="E956" s="2"/>
      <c r="F956" s="2"/>
      <c r="G956" s="2"/>
    </row>
    <row r="957" spans="3:7" ht="14.25" customHeight="1" x14ac:dyDescent="0.55000000000000004">
      <c r="C957" s="2"/>
      <c r="D957" s="2"/>
      <c r="E957" s="2"/>
      <c r="F957" s="2"/>
      <c r="G957" s="2"/>
    </row>
    <row r="958" spans="3:7" ht="14.25" customHeight="1" x14ac:dyDescent="0.55000000000000004">
      <c r="C958" s="2"/>
      <c r="D958" s="2"/>
      <c r="E958" s="2"/>
      <c r="F958" s="2"/>
      <c r="G958" s="2"/>
    </row>
    <row r="959" spans="3:7" ht="14.25" customHeight="1" x14ac:dyDescent="0.55000000000000004">
      <c r="C959" s="2"/>
      <c r="D959" s="2"/>
      <c r="E959" s="2"/>
      <c r="F959" s="2"/>
      <c r="G959" s="2"/>
    </row>
    <row r="960" spans="3:7" ht="14.25" customHeight="1" x14ac:dyDescent="0.55000000000000004">
      <c r="C960" s="2"/>
      <c r="D960" s="2"/>
      <c r="E960" s="2"/>
      <c r="F960" s="2"/>
      <c r="G960" s="2"/>
    </row>
    <row r="961" spans="3:7" ht="14.25" customHeight="1" x14ac:dyDescent="0.55000000000000004">
      <c r="C961" s="2"/>
      <c r="D961" s="2"/>
      <c r="E961" s="2"/>
      <c r="F961" s="2"/>
      <c r="G961" s="2"/>
    </row>
    <row r="962" spans="3:7" ht="14.25" customHeight="1" x14ac:dyDescent="0.55000000000000004">
      <c r="C962" s="2"/>
      <c r="D962" s="2"/>
      <c r="E962" s="2"/>
      <c r="F962" s="2"/>
      <c r="G962" s="2"/>
    </row>
    <row r="963" spans="3:7" ht="14.25" customHeight="1" x14ac:dyDescent="0.55000000000000004">
      <c r="C963" s="2"/>
      <c r="D963" s="2"/>
      <c r="E963" s="2"/>
      <c r="F963" s="2"/>
      <c r="G963" s="2"/>
    </row>
    <row r="964" spans="3:7" ht="14.25" customHeight="1" x14ac:dyDescent="0.55000000000000004">
      <c r="C964" s="2"/>
      <c r="D964" s="2"/>
      <c r="E964" s="2"/>
      <c r="F964" s="2"/>
      <c r="G964" s="2"/>
    </row>
    <row r="965" spans="3:7" ht="14.25" customHeight="1" x14ac:dyDescent="0.55000000000000004">
      <c r="C965" s="2"/>
      <c r="D965" s="2"/>
      <c r="E965" s="2"/>
      <c r="F965" s="2"/>
      <c r="G965" s="2"/>
    </row>
    <row r="966" spans="3:7" ht="14.25" customHeight="1" x14ac:dyDescent="0.55000000000000004">
      <c r="C966" s="2"/>
      <c r="D966" s="2"/>
      <c r="E966" s="2"/>
      <c r="F966" s="2"/>
      <c r="G966" s="2"/>
    </row>
    <row r="967" spans="3:7" ht="14.25" customHeight="1" x14ac:dyDescent="0.55000000000000004">
      <c r="C967" s="2"/>
      <c r="D967" s="2"/>
      <c r="E967" s="2"/>
      <c r="F967" s="2"/>
      <c r="G967" s="2"/>
    </row>
    <row r="968" spans="3:7" ht="14.25" customHeight="1" x14ac:dyDescent="0.55000000000000004">
      <c r="C968" s="2"/>
      <c r="D968" s="2"/>
      <c r="E968" s="2"/>
      <c r="F968" s="2"/>
      <c r="G968" s="2"/>
    </row>
    <row r="969" spans="3:7" ht="14.25" customHeight="1" x14ac:dyDescent="0.55000000000000004">
      <c r="C969" s="2"/>
      <c r="D969" s="2"/>
      <c r="E969" s="2"/>
      <c r="F969" s="2"/>
      <c r="G969" s="2"/>
    </row>
    <row r="970" spans="3:7" ht="14.25" customHeight="1" x14ac:dyDescent="0.55000000000000004">
      <c r="C970" s="2"/>
      <c r="D970" s="2"/>
      <c r="E970" s="2"/>
      <c r="F970" s="2"/>
      <c r="G970" s="2"/>
    </row>
    <row r="971" spans="3:7" ht="14.25" customHeight="1" x14ac:dyDescent="0.55000000000000004">
      <c r="C971" s="2"/>
      <c r="D971" s="2"/>
      <c r="E971" s="2"/>
      <c r="F971" s="2"/>
      <c r="G971" s="2"/>
    </row>
    <row r="972" spans="3:7" ht="14.25" customHeight="1" x14ac:dyDescent="0.55000000000000004">
      <c r="C972" s="2"/>
      <c r="D972" s="2"/>
      <c r="E972" s="2"/>
      <c r="F972" s="2"/>
      <c r="G972" s="2"/>
    </row>
    <row r="973" spans="3:7" ht="14.25" customHeight="1" x14ac:dyDescent="0.55000000000000004">
      <c r="C973" s="2"/>
      <c r="D973" s="2"/>
      <c r="E973" s="2"/>
      <c r="F973" s="2"/>
      <c r="G973" s="2"/>
    </row>
    <row r="974" spans="3:7" ht="14.25" customHeight="1" x14ac:dyDescent="0.55000000000000004">
      <c r="C974" s="2"/>
      <c r="D974" s="2"/>
      <c r="E974" s="2"/>
      <c r="F974" s="2"/>
      <c r="G974" s="2"/>
    </row>
    <row r="975" spans="3:7" ht="14.25" customHeight="1" x14ac:dyDescent="0.55000000000000004">
      <c r="C975" s="2"/>
      <c r="D975" s="2"/>
      <c r="E975" s="2"/>
      <c r="F975" s="2"/>
      <c r="G975" s="2"/>
    </row>
    <row r="976" spans="3:7" ht="14.25" customHeight="1" x14ac:dyDescent="0.55000000000000004">
      <c r="C976" s="2"/>
      <c r="D976" s="2"/>
      <c r="E976" s="2"/>
      <c r="F976" s="2"/>
      <c r="G976" s="2"/>
    </row>
    <row r="977" spans="3:7" ht="14.25" customHeight="1" x14ac:dyDescent="0.55000000000000004">
      <c r="C977" s="2"/>
      <c r="D977" s="2"/>
      <c r="E977" s="2"/>
      <c r="F977" s="2"/>
      <c r="G977" s="2"/>
    </row>
    <row r="978" spans="3:7" ht="14.25" customHeight="1" x14ac:dyDescent="0.55000000000000004">
      <c r="C978" s="2"/>
      <c r="D978" s="2"/>
      <c r="E978" s="2"/>
      <c r="F978" s="2"/>
      <c r="G978" s="2"/>
    </row>
    <row r="979" spans="3:7" ht="14.25" customHeight="1" x14ac:dyDescent="0.55000000000000004">
      <c r="C979" s="2"/>
      <c r="D979" s="2"/>
      <c r="E979" s="2"/>
      <c r="F979" s="2"/>
      <c r="G979" s="2"/>
    </row>
    <row r="980" spans="3:7" ht="14.25" customHeight="1" x14ac:dyDescent="0.55000000000000004">
      <c r="C980" s="2"/>
      <c r="D980" s="2"/>
      <c r="E980" s="2"/>
      <c r="F980" s="2"/>
      <c r="G980" s="2"/>
    </row>
    <row r="981" spans="3:7" ht="14.25" customHeight="1" x14ac:dyDescent="0.55000000000000004">
      <c r="C981" s="2"/>
      <c r="D981" s="2"/>
      <c r="E981" s="2"/>
      <c r="F981" s="2"/>
      <c r="G981" s="2"/>
    </row>
    <row r="982" spans="3:7" ht="14.25" customHeight="1" x14ac:dyDescent="0.55000000000000004">
      <c r="C982" s="2"/>
      <c r="D982" s="2"/>
      <c r="E982" s="2"/>
      <c r="F982" s="2"/>
      <c r="G982" s="2"/>
    </row>
    <row r="983" spans="3:7" ht="14.25" customHeight="1" x14ac:dyDescent="0.55000000000000004">
      <c r="C983" s="2"/>
      <c r="D983" s="2"/>
      <c r="E983" s="2"/>
      <c r="F983" s="2"/>
      <c r="G983" s="2"/>
    </row>
    <row r="984" spans="3:7" ht="14.25" customHeight="1" x14ac:dyDescent="0.55000000000000004">
      <c r="C984" s="2"/>
      <c r="D984" s="2"/>
      <c r="E984" s="2"/>
      <c r="F984" s="2"/>
      <c r="G984" s="2"/>
    </row>
    <row r="985" spans="3:7" ht="14.25" customHeight="1" x14ac:dyDescent="0.55000000000000004">
      <c r="C985" s="2"/>
      <c r="D985" s="2"/>
      <c r="E985" s="2"/>
      <c r="F985" s="2"/>
      <c r="G985" s="2"/>
    </row>
    <row r="986" spans="3:7" ht="14.25" customHeight="1" x14ac:dyDescent="0.55000000000000004">
      <c r="C986" s="2"/>
      <c r="D986" s="2"/>
      <c r="E986" s="2"/>
      <c r="F986" s="2"/>
      <c r="G986" s="2"/>
    </row>
    <row r="987" spans="3:7" ht="14.25" customHeight="1" x14ac:dyDescent="0.55000000000000004">
      <c r="C987" s="2"/>
      <c r="D987" s="2"/>
      <c r="E987" s="2"/>
      <c r="F987" s="2"/>
      <c r="G987" s="2"/>
    </row>
    <row r="988" spans="3:7" ht="14.25" customHeight="1" x14ac:dyDescent="0.55000000000000004">
      <c r="C988" s="2"/>
      <c r="D988" s="2"/>
      <c r="E988" s="2"/>
      <c r="F988" s="2"/>
      <c r="G988" s="2"/>
    </row>
    <row r="989" spans="3:7" ht="14.25" customHeight="1" x14ac:dyDescent="0.55000000000000004">
      <c r="C989" s="2"/>
      <c r="D989" s="2"/>
      <c r="E989" s="2"/>
      <c r="F989" s="2"/>
      <c r="G989" s="2"/>
    </row>
    <row r="990" spans="3:7" ht="14.25" customHeight="1" x14ac:dyDescent="0.55000000000000004">
      <c r="C990" s="2"/>
      <c r="D990" s="2"/>
      <c r="E990" s="2"/>
      <c r="F990" s="2"/>
      <c r="G990" s="2"/>
    </row>
    <row r="991" spans="3:7" ht="14.25" customHeight="1" x14ac:dyDescent="0.55000000000000004">
      <c r="C991" s="2"/>
      <c r="D991" s="2"/>
      <c r="E991" s="2"/>
      <c r="F991" s="2"/>
      <c r="G991" s="2"/>
    </row>
    <row r="992" spans="3:7" ht="14.25" customHeight="1" x14ac:dyDescent="0.55000000000000004">
      <c r="C992" s="2"/>
      <c r="D992" s="2"/>
      <c r="E992" s="2"/>
      <c r="F992" s="2"/>
      <c r="G992" s="2"/>
    </row>
    <row r="993" spans="3:7" ht="14.25" customHeight="1" x14ac:dyDescent="0.55000000000000004">
      <c r="C993" s="2"/>
      <c r="D993" s="2"/>
      <c r="E993" s="2"/>
      <c r="F993" s="2"/>
      <c r="G993" s="2"/>
    </row>
    <row r="994" spans="3:7" ht="14.25" customHeight="1" x14ac:dyDescent="0.55000000000000004">
      <c r="C994" s="2"/>
      <c r="D994" s="2"/>
      <c r="E994" s="2"/>
      <c r="F994" s="2"/>
      <c r="G994" s="2"/>
    </row>
    <row r="995" spans="3:7" ht="14.25" customHeight="1" x14ac:dyDescent="0.55000000000000004">
      <c r="C995" s="2"/>
      <c r="D995" s="2"/>
      <c r="E995" s="2"/>
      <c r="F995" s="2"/>
      <c r="G995" s="2"/>
    </row>
    <row r="996" spans="3:7" ht="14.25" customHeight="1" x14ac:dyDescent="0.55000000000000004">
      <c r="C996" s="2"/>
      <c r="D996" s="2"/>
      <c r="E996" s="2"/>
      <c r="F996" s="2"/>
      <c r="G996" s="2"/>
    </row>
    <row r="997" spans="3:7" ht="14.25" customHeight="1" x14ac:dyDescent="0.55000000000000004">
      <c r="C997" s="2"/>
      <c r="D997" s="2"/>
      <c r="E997" s="2"/>
      <c r="F997" s="2"/>
      <c r="G997" s="2"/>
    </row>
    <row r="998" spans="3:7" ht="14.25" customHeight="1" x14ac:dyDescent="0.55000000000000004">
      <c r="C998" s="2"/>
      <c r="D998" s="2"/>
      <c r="E998" s="2"/>
      <c r="F998" s="2"/>
      <c r="G998" s="2"/>
    </row>
    <row r="999" spans="3:7" ht="14.25" customHeight="1" x14ac:dyDescent="0.55000000000000004">
      <c r="C999" s="2"/>
      <c r="D999" s="2"/>
      <c r="E999" s="2"/>
      <c r="F999" s="2"/>
      <c r="G999" s="2"/>
    </row>
    <row r="1000" spans="3:7" ht="14.25" customHeight="1" x14ac:dyDescent="0.55000000000000004">
      <c r="C1000" s="2"/>
      <c r="D1000" s="2"/>
      <c r="E1000" s="2"/>
      <c r="F1000" s="2"/>
      <c r="G1000" s="2"/>
    </row>
    <row r="1001" spans="3:7" ht="14.25" customHeight="1" x14ac:dyDescent="0.55000000000000004">
      <c r="C1001" s="2"/>
      <c r="D1001" s="2"/>
      <c r="E1001" s="2"/>
      <c r="F1001" s="2"/>
      <c r="G1001" s="2"/>
    </row>
    <row r="1002" spans="3:7" ht="14.25" customHeight="1" x14ac:dyDescent="0.55000000000000004">
      <c r="C1002" s="2"/>
      <c r="D1002" s="2"/>
      <c r="E1002" s="2"/>
      <c r="F1002" s="2"/>
      <c r="G1002" s="2"/>
    </row>
    <row r="1003" spans="3:7" ht="14.25" customHeight="1" x14ac:dyDescent="0.55000000000000004">
      <c r="C1003" s="2"/>
      <c r="D1003" s="2"/>
      <c r="E1003" s="2"/>
      <c r="F1003" s="2"/>
      <c r="G1003" s="2"/>
    </row>
    <row r="1004" spans="3:7" ht="14.25" customHeight="1" x14ac:dyDescent="0.55000000000000004">
      <c r="C1004" s="2"/>
      <c r="D1004" s="2"/>
      <c r="E1004" s="2"/>
      <c r="F1004" s="2"/>
      <c r="G1004" s="2"/>
    </row>
    <row r="1005" spans="3:7" ht="14.25" customHeight="1" x14ac:dyDescent="0.55000000000000004">
      <c r="C1005" s="2"/>
      <c r="D1005" s="2"/>
      <c r="E1005" s="2"/>
      <c r="F1005" s="2"/>
      <c r="G1005" s="2"/>
    </row>
  </sheetData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99FB4-E67F-4CBC-899C-2D54BFF44B8A}">
  <sheetPr codeName="Sheet1">
    <tabColor rgb="FFFF0000"/>
  </sheetPr>
  <dimension ref="B1:AD566"/>
  <sheetViews>
    <sheetView tabSelected="1" workbookViewId="0">
      <pane ySplit="1" topLeftCell="A2" activePane="bottomLeft" state="frozenSplit"/>
      <selection pane="bottomLeft" activeCell="D18" sqref="D18"/>
    </sheetView>
  </sheetViews>
  <sheetFormatPr defaultRowHeight="14.4" x14ac:dyDescent="0.55000000000000004"/>
  <cols>
    <col min="2" max="2" width="22.41796875" bestFit="1" customWidth="1"/>
    <col min="4" max="4" width="23.20703125" bestFit="1" customWidth="1"/>
    <col min="5" max="5" width="21.5234375" bestFit="1" customWidth="1"/>
    <col min="13" max="13" width="5.05078125" bestFit="1" customWidth="1"/>
    <col min="14" max="14" width="9.5234375" bestFit="1" customWidth="1"/>
    <col min="15" max="15" width="18.734375" bestFit="1" customWidth="1"/>
    <col min="16" max="16" width="14.26171875" bestFit="1" customWidth="1"/>
    <col min="17" max="17" width="18.734375" bestFit="1" customWidth="1"/>
    <col min="18" max="18" width="8.734375" bestFit="1" customWidth="1"/>
    <col min="19" max="19" width="10.3125" customWidth="1"/>
    <col min="21" max="21" width="10.83984375" bestFit="1" customWidth="1"/>
    <col min="22" max="22" width="9.5234375" bestFit="1" customWidth="1"/>
    <col min="23" max="23" width="13.1015625" bestFit="1" customWidth="1"/>
    <col min="24" max="24" width="10.578125" bestFit="1" customWidth="1"/>
    <col min="25" max="25" width="8.734375" bestFit="1" customWidth="1"/>
    <col min="26" max="26" width="10.3125" bestFit="1" customWidth="1"/>
    <col min="28" max="28" width="5.05078125" bestFit="1" customWidth="1"/>
    <col min="29" max="29" width="10.83984375" bestFit="1" customWidth="1"/>
    <col min="30" max="30" width="10.578125" bestFit="1" customWidth="1"/>
  </cols>
  <sheetData>
    <row r="1" spans="8:14" ht="14.7" thickBot="1" x14ac:dyDescent="0.6"/>
    <row r="2" spans="8:14" x14ac:dyDescent="0.55000000000000004">
      <c r="H2" s="89" t="s">
        <v>57</v>
      </c>
      <c r="I2" s="90"/>
      <c r="J2" s="90"/>
      <c r="K2" s="90"/>
      <c r="L2" s="90"/>
      <c r="M2" s="90"/>
      <c r="N2" s="91"/>
    </row>
    <row r="3" spans="8:14" x14ac:dyDescent="0.55000000000000004">
      <c r="H3" s="92"/>
      <c r="I3" s="93"/>
      <c r="J3" s="93"/>
      <c r="K3" s="93"/>
      <c r="L3" s="93"/>
      <c r="M3" s="93"/>
      <c r="N3" s="94"/>
    </row>
    <row r="4" spans="8:14" x14ac:dyDescent="0.55000000000000004">
      <c r="H4" s="92"/>
      <c r="I4" s="93"/>
      <c r="J4" s="93"/>
      <c r="K4" s="93"/>
      <c r="L4" s="93"/>
      <c r="M4" s="93"/>
      <c r="N4" s="94"/>
    </row>
    <row r="5" spans="8:14" ht="14.7" thickBot="1" x14ac:dyDescent="0.6">
      <c r="H5" s="95"/>
      <c r="I5" s="96"/>
      <c r="J5" s="96"/>
      <c r="K5" s="96"/>
      <c r="L5" s="96"/>
      <c r="M5" s="96"/>
      <c r="N5" s="97"/>
    </row>
    <row r="6" spans="8:14" ht="14.7" thickBot="1" x14ac:dyDescent="0.6"/>
    <row r="7" spans="8:14" x14ac:dyDescent="0.55000000000000004">
      <c r="H7" s="89" t="s">
        <v>57</v>
      </c>
      <c r="I7" s="90"/>
      <c r="J7" s="90"/>
      <c r="K7" s="90"/>
      <c r="L7" s="90"/>
      <c r="M7" s="90"/>
      <c r="N7" s="91"/>
    </row>
    <row r="8" spans="8:14" x14ac:dyDescent="0.55000000000000004">
      <c r="H8" s="92"/>
      <c r="I8" s="93"/>
      <c r="J8" s="93"/>
      <c r="K8" s="93"/>
      <c r="L8" s="93"/>
      <c r="M8" s="93"/>
      <c r="N8" s="94"/>
    </row>
    <row r="9" spans="8:14" x14ac:dyDescent="0.55000000000000004">
      <c r="H9" s="92"/>
      <c r="I9" s="93"/>
      <c r="J9" s="93"/>
      <c r="K9" s="93"/>
      <c r="L9" s="93"/>
      <c r="M9" s="93"/>
      <c r="N9" s="94"/>
    </row>
    <row r="10" spans="8:14" ht="14.7" thickBot="1" x14ac:dyDescent="0.6">
      <c r="H10" s="95"/>
      <c r="I10" s="96"/>
      <c r="J10" s="96"/>
      <c r="K10" s="96"/>
      <c r="L10" s="96"/>
      <c r="M10" s="96"/>
      <c r="N10" s="97"/>
    </row>
    <row r="12" spans="8:14" x14ac:dyDescent="0.55000000000000004">
      <c r="H12" s="88"/>
      <c r="I12" s="88"/>
      <c r="J12" s="88"/>
    </row>
    <row r="13" spans="8:14" x14ac:dyDescent="0.55000000000000004">
      <c r="H13" s="88"/>
      <c r="I13" s="88"/>
      <c r="J13" s="88"/>
    </row>
    <row r="17" spans="2:30" ht="14.7" thickBot="1" x14ac:dyDescent="0.6"/>
    <row r="18" spans="2:30" ht="14.7" thickBot="1" x14ac:dyDescent="0.6">
      <c r="O18" s="81" t="s">
        <v>131</v>
      </c>
      <c r="P18" s="82"/>
      <c r="Q18" s="82"/>
      <c r="R18" s="82"/>
      <c r="S18" s="83"/>
    </row>
    <row r="19" spans="2:30" x14ac:dyDescent="0.55000000000000004">
      <c r="O19" s="74" t="s">
        <v>76</v>
      </c>
      <c r="P19" s="84" t="s">
        <v>132</v>
      </c>
      <c r="Q19" s="84"/>
      <c r="R19" s="84"/>
      <c r="S19" s="85"/>
    </row>
    <row r="20" spans="2:30" x14ac:dyDescent="0.55000000000000004">
      <c r="O20" s="75" t="s">
        <v>18</v>
      </c>
      <c r="P20" s="86" t="s">
        <v>133</v>
      </c>
      <c r="Q20" s="86"/>
      <c r="R20" s="86"/>
      <c r="S20" s="87"/>
    </row>
    <row r="21" spans="2:30" x14ac:dyDescent="0.55000000000000004">
      <c r="O21" s="75" t="s">
        <v>125</v>
      </c>
      <c r="P21" s="86" t="s">
        <v>134</v>
      </c>
      <c r="Q21" s="86"/>
      <c r="R21" s="86"/>
      <c r="S21" s="87"/>
    </row>
    <row r="22" spans="2:30" x14ac:dyDescent="0.55000000000000004">
      <c r="O22" s="76" t="s">
        <v>130</v>
      </c>
      <c r="P22" s="86" t="s">
        <v>135</v>
      </c>
      <c r="Q22" s="86"/>
      <c r="R22" s="86"/>
      <c r="S22" s="87"/>
    </row>
    <row r="23" spans="2:30" ht="27.6" customHeight="1" thickBot="1" x14ac:dyDescent="0.6">
      <c r="O23" s="77" t="s">
        <v>136</v>
      </c>
      <c r="P23" s="79" t="s">
        <v>137</v>
      </c>
      <c r="Q23" s="79"/>
      <c r="R23" s="79"/>
      <c r="S23" s="80"/>
    </row>
    <row r="24" spans="2:30" ht="14.7" thickBot="1" x14ac:dyDescent="0.6">
      <c r="AB24" s="98" t="s">
        <v>125</v>
      </c>
      <c r="AC24" s="99"/>
      <c r="AD24" s="100"/>
    </row>
    <row r="25" spans="2:30" s="31" customFormat="1" ht="57.9" thickBot="1" x14ac:dyDescent="0.6">
      <c r="B25" s="30" t="s">
        <v>58</v>
      </c>
      <c r="D25" s="101" t="s">
        <v>61</v>
      </c>
      <c r="E25" s="101"/>
      <c r="G25" s="103" t="s">
        <v>68</v>
      </c>
      <c r="H25" s="103"/>
      <c r="I25" s="103"/>
      <c r="J25" s="103"/>
      <c r="K25" s="103"/>
      <c r="M25" s="103" t="s">
        <v>72</v>
      </c>
      <c r="N25" s="103"/>
      <c r="O25" s="103"/>
      <c r="P25" s="103"/>
      <c r="Q25" s="103"/>
      <c r="R25" s="103"/>
      <c r="S25" s="103"/>
      <c r="U25" s="103" t="s">
        <v>78</v>
      </c>
      <c r="V25" s="103"/>
      <c r="W25" s="103"/>
      <c r="X25" s="103"/>
      <c r="Y25" s="103"/>
      <c r="Z25" s="103"/>
      <c r="AB25" s="102" t="s">
        <v>126</v>
      </c>
      <c r="AC25" s="102"/>
      <c r="AD25" s="102"/>
    </row>
    <row r="26" spans="2:30" ht="29.1" thickBot="1" x14ac:dyDescent="0.6">
      <c r="B26" s="27" t="s">
        <v>41</v>
      </c>
      <c r="D26" s="72" t="s">
        <v>59</v>
      </c>
      <c r="E26" s="28" t="s">
        <v>80</v>
      </c>
      <c r="G26" s="32" t="s">
        <v>77</v>
      </c>
      <c r="H26" s="33" t="s">
        <v>69</v>
      </c>
      <c r="I26" s="34" t="s">
        <v>70</v>
      </c>
      <c r="J26" s="34" t="s">
        <v>71</v>
      </c>
      <c r="K26" s="35" t="s">
        <v>67</v>
      </c>
      <c r="M26" s="26" t="s">
        <v>77</v>
      </c>
      <c r="N26" s="25" t="s">
        <v>8</v>
      </c>
      <c r="O26" s="23" t="s">
        <v>9</v>
      </c>
      <c r="P26" s="24" t="s">
        <v>10</v>
      </c>
      <c r="Q26" s="24" t="s">
        <v>11</v>
      </c>
      <c r="R26" s="24" t="s">
        <v>12</v>
      </c>
      <c r="S26" s="25" t="s">
        <v>55</v>
      </c>
      <c r="U26" s="22" t="s">
        <v>10</v>
      </c>
      <c r="V26" s="23" t="s">
        <v>8</v>
      </c>
      <c r="W26" s="24" t="s">
        <v>9</v>
      </c>
      <c r="X26" s="24" t="s">
        <v>11</v>
      </c>
      <c r="Y26" s="24" t="s">
        <v>12</v>
      </c>
      <c r="Z26" s="25" t="s">
        <v>55</v>
      </c>
      <c r="AB26" s="26" t="s">
        <v>77</v>
      </c>
      <c r="AC26" s="24" t="s">
        <v>10</v>
      </c>
      <c r="AD26" s="25" t="s">
        <v>11</v>
      </c>
    </row>
    <row r="27" spans="2:30" ht="14.7" thickBot="1" x14ac:dyDescent="0.6">
      <c r="B27" s="18" t="s">
        <v>42</v>
      </c>
      <c r="D27" s="73" t="s">
        <v>60</v>
      </c>
      <c r="E27" s="71">
        <v>401</v>
      </c>
      <c r="G27" s="67" t="s">
        <v>62</v>
      </c>
      <c r="H27" s="38">
        <v>1010020</v>
      </c>
      <c r="I27" s="39">
        <v>1010900</v>
      </c>
      <c r="J27" s="39">
        <v>1010000</v>
      </c>
      <c r="K27" s="40">
        <v>1010000</v>
      </c>
      <c r="M27" s="36" t="s">
        <v>62</v>
      </c>
      <c r="N27" s="37" t="s">
        <v>73</v>
      </c>
      <c r="O27" s="38" t="s">
        <v>76</v>
      </c>
      <c r="P27" s="39" t="s">
        <v>18</v>
      </c>
      <c r="Q27" s="39">
        <v>9901</v>
      </c>
      <c r="R27" s="39" t="s">
        <v>19</v>
      </c>
      <c r="S27" s="40" t="s">
        <v>76</v>
      </c>
      <c r="U27" s="56" t="s">
        <v>79</v>
      </c>
      <c r="V27" s="57">
        <v>1892</v>
      </c>
      <c r="W27" s="58" t="s">
        <v>76</v>
      </c>
      <c r="X27" s="58">
        <v>1010</v>
      </c>
      <c r="Y27" s="58" t="s">
        <v>32</v>
      </c>
      <c r="Z27" s="59" t="s">
        <v>76</v>
      </c>
      <c r="AB27" s="60" t="s">
        <v>66</v>
      </c>
      <c r="AC27" s="61" t="s">
        <v>91</v>
      </c>
      <c r="AD27" s="62">
        <v>9901</v>
      </c>
    </row>
    <row r="28" spans="2:30" x14ac:dyDescent="0.55000000000000004">
      <c r="B28" s="18" t="s">
        <v>43</v>
      </c>
      <c r="G28" s="68" t="s">
        <v>63</v>
      </c>
      <c r="H28" s="43">
        <v>1012020</v>
      </c>
      <c r="I28" s="44">
        <v>1012900</v>
      </c>
      <c r="J28" s="44">
        <v>1012000</v>
      </c>
      <c r="K28" s="45">
        <v>1012000</v>
      </c>
      <c r="M28" s="41" t="s">
        <v>63</v>
      </c>
      <c r="N28" s="42" t="s">
        <v>73</v>
      </c>
      <c r="O28" s="43" t="s">
        <v>76</v>
      </c>
      <c r="P28" s="44" t="s">
        <v>18</v>
      </c>
      <c r="Q28" s="44">
        <v>9901</v>
      </c>
      <c r="R28" s="44" t="s">
        <v>19</v>
      </c>
      <c r="S28" s="45" t="s">
        <v>76</v>
      </c>
      <c r="U28" s="17"/>
      <c r="V28" s="17"/>
      <c r="W28" s="17"/>
      <c r="X28" s="17"/>
      <c r="Y28" s="17"/>
      <c r="Z28" s="17"/>
      <c r="AB28" s="41" t="s">
        <v>66</v>
      </c>
      <c r="AC28" s="63" t="s">
        <v>92</v>
      </c>
      <c r="AD28" s="64">
        <v>9901</v>
      </c>
    </row>
    <row r="29" spans="2:30" x14ac:dyDescent="0.55000000000000004">
      <c r="B29" s="18" t="s">
        <v>44</v>
      </c>
      <c r="G29" s="68" t="s">
        <v>64</v>
      </c>
      <c r="H29" s="43">
        <v>1058020</v>
      </c>
      <c r="I29" s="44">
        <v>1058900</v>
      </c>
      <c r="J29" s="44">
        <v>1058000</v>
      </c>
      <c r="K29" s="45">
        <v>1058000</v>
      </c>
      <c r="M29" s="41" t="s">
        <v>64</v>
      </c>
      <c r="N29" s="42" t="s">
        <v>73</v>
      </c>
      <c r="O29" s="43" t="s">
        <v>76</v>
      </c>
      <c r="P29" s="44" t="s">
        <v>18</v>
      </c>
      <c r="Q29" s="44">
        <v>7776001</v>
      </c>
      <c r="R29" s="44" t="s">
        <v>19</v>
      </c>
      <c r="S29" s="45" t="s">
        <v>76</v>
      </c>
      <c r="U29" s="17"/>
      <c r="V29" s="17"/>
      <c r="W29" s="17"/>
      <c r="X29" s="17"/>
      <c r="Y29" s="17"/>
      <c r="Z29" s="17"/>
      <c r="AB29" s="41" t="s">
        <v>66</v>
      </c>
      <c r="AC29" s="63" t="s">
        <v>93</v>
      </c>
      <c r="AD29" s="64">
        <v>9901</v>
      </c>
    </row>
    <row r="30" spans="2:30" x14ac:dyDescent="0.55000000000000004">
      <c r="B30" s="19" t="s">
        <v>8</v>
      </c>
      <c r="G30" s="68" t="s">
        <v>65</v>
      </c>
      <c r="H30" s="43">
        <v>1050020</v>
      </c>
      <c r="I30" s="44">
        <v>1050900</v>
      </c>
      <c r="J30" s="44">
        <v>1050000</v>
      </c>
      <c r="K30" s="45">
        <v>1050000</v>
      </c>
      <c r="M30" s="41" t="s">
        <v>65</v>
      </c>
      <c r="N30" s="42" t="s">
        <v>73</v>
      </c>
      <c r="O30" s="43" t="s">
        <v>76</v>
      </c>
      <c r="P30" s="44" t="s">
        <v>18</v>
      </c>
      <c r="Q30" s="44">
        <v>7776001</v>
      </c>
      <c r="R30" s="44" t="s">
        <v>19</v>
      </c>
      <c r="S30" s="45" t="s">
        <v>76</v>
      </c>
      <c r="U30" s="17"/>
      <c r="V30" s="17"/>
      <c r="W30" s="17"/>
      <c r="X30" s="17"/>
      <c r="Y30" s="17"/>
      <c r="Z30" s="17"/>
      <c r="AB30" s="41" t="s">
        <v>66</v>
      </c>
      <c r="AC30" s="63" t="s">
        <v>94</v>
      </c>
      <c r="AD30" s="64">
        <v>9901</v>
      </c>
    </row>
    <row r="31" spans="2:30" ht="14.7" thickBot="1" x14ac:dyDescent="0.6">
      <c r="B31" s="18" t="s">
        <v>9</v>
      </c>
      <c r="G31" s="69" t="s">
        <v>66</v>
      </c>
      <c r="H31" s="53">
        <v>1030020</v>
      </c>
      <c r="I31" s="54">
        <v>1030900</v>
      </c>
      <c r="J31" s="54">
        <v>1030000</v>
      </c>
      <c r="K31" s="70">
        <v>1030000</v>
      </c>
      <c r="M31" s="41" t="s">
        <v>66</v>
      </c>
      <c r="N31" s="42" t="s">
        <v>73</v>
      </c>
      <c r="O31" s="43" t="s">
        <v>76</v>
      </c>
      <c r="P31" s="44" t="s">
        <v>18</v>
      </c>
      <c r="Q31" s="29" t="s">
        <v>125</v>
      </c>
      <c r="R31" s="44" t="s">
        <v>19</v>
      </c>
      <c r="S31" s="46" t="s">
        <v>76</v>
      </c>
      <c r="U31" s="17"/>
      <c r="V31" s="17"/>
      <c r="W31" s="17"/>
      <c r="X31" s="17"/>
      <c r="Y31" s="17"/>
      <c r="Z31" s="17"/>
      <c r="AB31" s="41" t="s">
        <v>66</v>
      </c>
      <c r="AC31" s="63" t="s">
        <v>95</v>
      </c>
      <c r="AD31" s="64">
        <v>9901</v>
      </c>
    </row>
    <row r="32" spans="2:30" x14ac:dyDescent="0.55000000000000004">
      <c r="B32" s="19" t="s">
        <v>10</v>
      </c>
      <c r="M32" s="41" t="s">
        <v>62</v>
      </c>
      <c r="N32" s="42" t="s">
        <v>74</v>
      </c>
      <c r="O32" s="43" t="s">
        <v>76</v>
      </c>
      <c r="P32" s="44" t="s">
        <v>18</v>
      </c>
      <c r="Q32" s="44" t="s">
        <v>76</v>
      </c>
      <c r="R32" s="47" t="s">
        <v>76</v>
      </c>
      <c r="S32" s="48">
        <f>INDEX(State_Cost_Center_Lookup_Table,MATCH(M32,INDEX(State_Cost_Center_Lookup_Table,0,1),0),MATCH("Indirect Cost Code",INDEX(State_Cost_Center_Lookup_Table,1,0),0))</f>
        <v>1010900</v>
      </c>
      <c r="U32" s="17"/>
      <c r="V32" s="17"/>
      <c r="W32" s="17"/>
      <c r="X32" s="17"/>
      <c r="Y32" s="17"/>
      <c r="Z32" s="17"/>
      <c r="AB32" s="41" t="s">
        <v>66</v>
      </c>
      <c r="AC32" s="63" t="s">
        <v>96</v>
      </c>
      <c r="AD32" s="64">
        <v>9901</v>
      </c>
    </row>
    <row r="33" spans="2:30" x14ac:dyDescent="0.55000000000000004">
      <c r="B33" s="18" t="s">
        <v>11</v>
      </c>
      <c r="D33" t="s">
        <v>127</v>
      </c>
      <c r="M33" s="41" t="s">
        <v>63</v>
      </c>
      <c r="N33" s="42" t="s">
        <v>74</v>
      </c>
      <c r="O33" s="43" t="s">
        <v>76</v>
      </c>
      <c r="P33" s="44" t="s">
        <v>18</v>
      </c>
      <c r="Q33" s="44" t="s">
        <v>76</v>
      </c>
      <c r="R33" s="47" t="s">
        <v>76</v>
      </c>
      <c r="S33" s="49">
        <f>INDEX(State_Cost_Center_Lookup_Table,MATCH(M33,INDEX(State_Cost_Center_Lookup_Table,0,1),0),MATCH("Indirect Cost Code",INDEX(State_Cost_Center_Lookup_Table,1,0),0))</f>
        <v>1012900</v>
      </c>
      <c r="U33" s="17"/>
      <c r="V33" s="17"/>
      <c r="W33" s="17"/>
      <c r="X33" s="17"/>
      <c r="Y33" s="17"/>
      <c r="Z33" s="17"/>
      <c r="AB33" s="41" t="s">
        <v>66</v>
      </c>
      <c r="AC33" s="63" t="s">
        <v>82</v>
      </c>
      <c r="AD33" s="64">
        <v>77776001</v>
      </c>
    </row>
    <row r="34" spans="2:30" x14ac:dyDescent="0.55000000000000004">
      <c r="B34" s="18" t="s">
        <v>12</v>
      </c>
      <c r="D34" t="s">
        <v>128</v>
      </c>
      <c r="M34" s="41" t="s">
        <v>64</v>
      </c>
      <c r="N34" s="42" t="s">
        <v>74</v>
      </c>
      <c r="O34" s="43" t="s">
        <v>76</v>
      </c>
      <c r="P34" s="44" t="s">
        <v>18</v>
      </c>
      <c r="Q34" s="44" t="s">
        <v>76</v>
      </c>
      <c r="R34" s="47" t="s">
        <v>76</v>
      </c>
      <c r="S34" s="49">
        <f>INDEX(State_Cost_Center_Lookup_Table,MATCH(M34,INDEX(State_Cost_Center_Lookup_Table,0,1),0),MATCH("Indirect Cost Code",INDEX(State_Cost_Center_Lookup_Table,1,0),0))</f>
        <v>1058900</v>
      </c>
      <c r="U34" s="17"/>
      <c r="V34" s="17"/>
      <c r="W34" s="17"/>
      <c r="X34" s="17"/>
      <c r="Y34" s="17"/>
      <c r="Z34" s="17"/>
      <c r="AB34" s="41" t="s">
        <v>66</v>
      </c>
      <c r="AC34" s="63" t="s">
        <v>97</v>
      </c>
      <c r="AD34" s="64">
        <v>9901</v>
      </c>
    </row>
    <row r="35" spans="2:30" x14ac:dyDescent="0.55000000000000004">
      <c r="B35" s="18" t="s">
        <v>45</v>
      </c>
      <c r="D35" t="s">
        <v>129</v>
      </c>
      <c r="M35" s="41" t="s">
        <v>65</v>
      </c>
      <c r="N35" s="42" t="s">
        <v>74</v>
      </c>
      <c r="O35" s="43" t="s">
        <v>76</v>
      </c>
      <c r="P35" s="44" t="s">
        <v>18</v>
      </c>
      <c r="Q35" s="44" t="s">
        <v>76</v>
      </c>
      <c r="R35" s="47" t="s">
        <v>76</v>
      </c>
      <c r="S35" s="49">
        <f>INDEX(State_Cost_Center_Lookup_Table,MATCH(M35,INDEX(State_Cost_Center_Lookup_Table,0,1),0),MATCH("Indirect Cost Code",INDEX(State_Cost_Center_Lookup_Table,1,0),0))</f>
        <v>1050900</v>
      </c>
      <c r="U35" s="17"/>
      <c r="V35" s="17"/>
      <c r="W35" s="17"/>
      <c r="X35" s="17"/>
      <c r="Y35" s="17"/>
      <c r="Z35" s="17"/>
      <c r="AB35" s="41" t="s">
        <v>66</v>
      </c>
      <c r="AC35" s="63" t="s">
        <v>98</v>
      </c>
      <c r="AD35" s="64">
        <v>9901</v>
      </c>
    </row>
    <row r="36" spans="2:30" ht="14.7" thickBot="1" x14ac:dyDescent="0.6">
      <c r="B36" s="18" t="s">
        <v>46</v>
      </c>
      <c r="M36" s="41" t="s">
        <v>66</v>
      </c>
      <c r="N36" s="42" t="s">
        <v>74</v>
      </c>
      <c r="O36" s="43" t="s">
        <v>76</v>
      </c>
      <c r="P36" s="44" t="s">
        <v>18</v>
      </c>
      <c r="Q36" s="44" t="s">
        <v>76</v>
      </c>
      <c r="R36" s="47" t="s">
        <v>76</v>
      </c>
      <c r="S36" s="50">
        <f>INDEX(State_Cost_Center_Lookup_Table,MATCH(M36,INDEX(State_Cost_Center_Lookup_Table,0,1),0),MATCH("Indirect Cost Code",INDEX(State_Cost_Center_Lookup_Table,1,0),0))</f>
        <v>1030900</v>
      </c>
      <c r="U36" s="17"/>
      <c r="V36" s="17"/>
      <c r="W36" s="17"/>
      <c r="X36" s="17"/>
      <c r="Y36" s="17"/>
      <c r="Z36" s="17"/>
      <c r="AB36" s="41" t="s">
        <v>66</v>
      </c>
      <c r="AC36" s="63" t="s">
        <v>99</v>
      </c>
      <c r="AD36" s="64">
        <v>9901</v>
      </c>
    </row>
    <row r="37" spans="2:30" x14ac:dyDescent="0.55000000000000004">
      <c r="B37" s="18" t="s">
        <v>47</v>
      </c>
      <c r="M37" s="41" t="s">
        <v>62</v>
      </c>
      <c r="N37" s="42" t="s">
        <v>75</v>
      </c>
      <c r="O37" s="43" t="s">
        <v>76</v>
      </c>
      <c r="P37" s="44" t="s">
        <v>18</v>
      </c>
      <c r="Q37" s="44" t="s">
        <v>76</v>
      </c>
      <c r="R37" s="47" t="s">
        <v>76</v>
      </c>
      <c r="S37" s="48">
        <f>INDEX(State_Cost_Center_Lookup_Table,MATCH(M37,INDEX(State_Cost_Center_Lookup_Table,0,1),0),MATCH("Corporate Cost Code",INDEX(State_Cost_Center_Lookup_Table,1,0),0))</f>
        <v>1010000</v>
      </c>
      <c r="U37" s="17"/>
      <c r="V37" s="17"/>
      <c r="W37" s="17"/>
      <c r="X37" s="17"/>
      <c r="Y37" s="17"/>
      <c r="Z37" s="17"/>
      <c r="AB37" s="41" t="s">
        <v>66</v>
      </c>
      <c r="AC37" s="63" t="s">
        <v>56</v>
      </c>
      <c r="AD37" s="64">
        <v>9901</v>
      </c>
    </row>
    <row r="38" spans="2:30" x14ac:dyDescent="0.55000000000000004">
      <c r="B38" s="18" t="s">
        <v>48</v>
      </c>
      <c r="M38" s="41" t="s">
        <v>63</v>
      </c>
      <c r="N38" s="42" t="s">
        <v>75</v>
      </c>
      <c r="O38" s="43" t="s">
        <v>76</v>
      </c>
      <c r="P38" s="44" t="s">
        <v>18</v>
      </c>
      <c r="Q38" s="44" t="s">
        <v>76</v>
      </c>
      <c r="R38" s="47" t="s">
        <v>76</v>
      </c>
      <c r="S38" s="49">
        <f>INDEX(State_Cost_Center_Lookup_Table,MATCH(M38,INDEX(State_Cost_Center_Lookup_Table,0,1),0),MATCH("Corporate Cost Code",INDEX(State_Cost_Center_Lookup_Table,1,0),0))</f>
        <v>1012000</v>
      </c>
      <c r="U38" s="17"/>
      <c r="V38" s="17"/>
      <c r="W38" s="17"/>
      <c r="X38" s="17"/>
      <c r="Y38" s="17"/>
      <c r="Z38" s="17"/>
      <c r="AB38" s="41" t="s">
        <v>66</v>
      </c>
      <c r="AC38" s="63" t="s">
        <v>100</v>
      </c>
      <c r="AD38" s="64">
        <v>77776001</v>
      </c>
    </row>
    <row r="39" spans="2:30" x14ac:dyDescent="0.55000000000000004">
      <c r="B39" s="18" t="s">
        <v>49</v>
      </c>
      <c r="M39" s="41" t="s">
        <v>64</v>
      </c>
      <c r="N39" s="42" t="s">
        <v>75</v>
      </c>
      <c r="O39" s="43" t="s">
        <v>76</v>
      </c>
      <c r="P39" s="44" t="s">
        <v>18</v>
      </c>
      <c r="Q39" s="44" t="s">
        <v>76</v>
      </c>
      <c r="R39" s="47" t="s">
        <v>76</v>
      </c>
      <c r="S39" s="49">
        <f>INDEX(State_Cost_Center_Lookup_Table,MATCH(M39,INDEX(State_Cost_Center_Lookup_Table,0,1),0),MATCH("Corporate Cost Code",INDEX(State_Cost_Center_Lookup_Table,1,0),0))</f>
        <v>1058000</v>
      </c>
      <c r="U39" s="17"/>
      <c r="V39" s="17"/>
      <c r="W39" s="17"/>
      <c r="X39" s="17"/>
      <c r="Y39" s="17"/>
      <c r="Z39" s="17"/>
      <c r="AB39" s="41" t="s">
        <v>66</v>
      </c>
      <c r="AC39" s="63">
        <v>24112</v>
      </c>
      <c r="AD39" s="64">
        <v>9901</v>
      </c>
    </row>
    <row r="40" spans="2:30" x14ac:dyDescent="0.55000000000000004">
      <c r="B40" s="18" t="s">
        <v>50</v>
      </c>
      <c r="M40" s="41" t="s">
        <v>65</v>
      </c>
      <c r="N40" s="42" t="s">
        <v>75</v>
      </c>
      <c r="O40" s="43" t="s">
        <v>76</v>
      </c>
      <c r="P40" s="44" t="s">
        <v>18</v>
      </c>
      <c r="Q40" s="44" t="s">
        <v>76</v>
      </c>
      <c r="R40" s="47" t="s">
        <v>76</v>
      </c>
      <c r="S40" s="49">
        <f>INDEX(State_Cost_Center_Lookup_Table,MATCH(M40,INDEX(State_Cost_Center_Lookup_Table,0,1),0),MATCH("Corporate Cost Code",INDEX(State_Cost_Center_Lookup_Table,1,0),0))</f>
        <v>1050000</v>
      </c>
      <c r="U40" s="17"/>
      <c r="V40" s="17"/>
      <c r="W40" s="17"/>
      <c r="X40" s="17"/>
      <c r="Y40" s="17"/>
      <c r="Z40" s="17"/>
      <c r="AB40" s="41" t="s">
        <v>66</v>
      </c>
      <c r="AC40" s="63" t="s">
        <v>101</v>
      </c>
      <c r="AD40" s="64">
        <v>9901</v>
      </c>
    </row>
    <row r="41" spans="2:30" ht="14.7" thickBot="1" x14ac:dyDescent="0.6">
      <c r="B41" s="18" t="s">
        <v>51</v>
      </c>
      <c r="M41" s="51" t="s">
        <v>66</v>
      </c>
      <c r="N41" s="52" t="s">
        <v>75</v>
      </c>
      <c r="O41" s="53" t="s">
        <v>76</v>
      </c>
      <c r="P41" s="54" t="s">
        <v>18</v>
      </c>
      <c r="Q41" s="54" t="s">
        <v>76</v>
      </c>
      <c r="R41" s="55" t="s">
        <v>76</v>
      </c>
      <c r="S41" s="50">
        <f>INDEX(State_Cost_Center_Lookup_Table,MATCH(M41,INDEX(State_Cost_Center_Lookup_Table,0,1),0),MATCH("Corporate Cost Code",INDEX(State_Cost_Center_Lookup_Table,1,0),0))</f>
        <v>1030000</v>
      </c>
      <c r="U41" s="17"/>
      <c r="V41" s="17"/>
      <c r="W41" s="17"/>
      <c r="X41" s="17"/>
      <c r="Y41" s="17"/>
      <c r="Z41" s="17"/>
      <c r="AB41" s="41" t="s">
        <v>66</v>
      </c>
      <c r="AC41" s="63" t="s">
        <v>102</v>
      </c>
      <c r="AD41" s="64">
        <v>9901</v>
      </c>
    </row>
    <row r="42" spans="2:30" x14ac:dyDescent="0.55000000000000004">
      <c r="B42" s="18" t="s">
        <v>52</v>
      </c>
      <c r="M42" s="17"/>
      <c r="N42" s="17"/>
      <c r="O42" s="17"/>
      <c r="P42" s="17"/>
      <c r="Q42" s="17"/>
      <c r="R42" s="17"/>
      <c r="S42" s="17"/>
      <c r="U42" s="17"/>
      <c r="V42" s="17"/>
      <c r="W42" s="17"/>
      <c r="X42" s="17"/>
      <c r="Y42" s="17"/>
      <c r="Z42" s="17"/>
      <c r="AB42" s="41" t="s">
        <v>66</v>
      </c>
      <c r="AC42" s="63" t="s">
        <v>103</v>
      </c>
      <c r="AD42" s="64">
        <v>9901</v>
      </c>
    </row>
    <row r="43" spans="2:30" x14ac:dyDescent="0.55000000000000004">
      <c r="B43" s="18" t="s">
        <v>53</v>
      </c>
      <c r="M43" s="17"/>
      <c r="N43" s="17"/>
      <c r="O43" s="17"/>
      <c r="P43" s="17"/>
      <c r="Q43" s="17"/>
      <c r="R43" s="17"/>
      <c r="S43" s="17"/>
      <c r="AB43" s="41" t="s">
        <v>66</v>
      </c>
      <c r="AC43" s="63" t="s">
        <v>104</v>
      </c>
      <c r="AD43" s="64">
        <v>77776001</v>
      </c>
    </row>
    <row r="44" spans="2:30" x14ac:dyDescent="0.55000000000000004">
      <c r="B44" s="18" t="s">
        <v>54</v>
      </c>
      <c r="M44" s="17"/>
      <c r="N44" s="17"/>
      <c r="O44" s="17"/>
      <c r="P44" s="17"/>
      <c r="Q44" s="17"/>
      <c r="R44" s="17"/>
      <c r="S44" s="17"/>
      <c r="AB44" s="41" t="s">
        <v>66</v>
      </c>
      <c r="AC44" s="63" t="s">
        <v>105</v>
      </c>
      <c r="AD44" s="64">
        <v>9901</v>
      </c>
    </row>
    <row r="45" spans="2:30" x14ac:dyDescent="0.55000000000000004">
      <c r="B45" s="18" t="s">
        <v>55</v>
      </c>
      <c r="M45" s="17"/>
      <c r="N45" s="17"/>
      <c r="O45" s="17"/>
      <c r="P45" s="17"/>
      <c r="Q45" s="17"/>
      <c r="R45" s="17"/>
      <c r="S45" s="17"/>
      <c r="AB45" s="41" t="s">
        <v>66</v>
      </c>
      <c r="AC45" s="63" t="s">
        <v>84</v>
      </c>
      <c r="AD45" s="64">
        <v>9901</v>
      </c>
    </row>
    <row r="46" spans="2:30" x14ac:dyDescent="0.55000000000000004">
      <c r="B46" s="20"/>
      <c r="M46" s="17"/>
      <c r="N46" s="17"/>
      <c r="O46" s="17"/>
      <c r="P46" s="17"/>
      <c r="Q46" s="17"/>
      <c r="R46" s="17"/>
      <c r="S46" s="17"/>
      <c r="AB46" s="41" t="s">
        <v>66</v>
      </c>
      <c r="AC46" s="63" t="s">
        <v>106</v>
      </c>
      <c r="AD46" s="64">
        <v>9901</v>
      </c>
    </row>
    <row r="47" spans="2:30" x14ac:dyDescent="0.55000000000000004">
      <c r="B47" s="20"/>
      <c r="M47" s="17"/>
      <c r="N47" s="17"/>
      <c r="O47" s="17"/>
      <c r="P47" s="17"/>
      <c r="Q47" s="17"/>
      <c r="R47" s="17"/>
      <c r="S47" s="17"/>
      <c r="AB47" s="41" t="s">
        <v>66</v>
      </c>
      <c r="AC47" s="63" t="s">
        <v>107</v>
      </c>
      <c r="AD47" s="64">
        <v>77776001</v>
      </c>
    </row>
    <row r="48" spans="2:30" x14ac:dyDescent="0.55000000000000004">
      <c r="B48" s="20"/>
      <c r="M48" s="17"/>
      <c r="N48" s="17"/>
      <c r="O48" s="17"/>
      <c r="P48" s="17"/>
      <c r="Q48" s="17"/>
      <c r="R48" s="17"/>
      <c r="S48" s="17"/>
      <c r="AB48" s="41" t="s">
        <v>66</v>
      </c>
      <c r="AC48" s="63" t="s">
        <v>108</v>
      </c>
      <c r="AD48" s="64">
        <v>9901</v>
      </c>
    </row>
    <row r="49" spans="2:30" x14ac:dyDescent="0.55000000000000004">
      <c r="B49" s="20"/>
      <c r="M49" s="17"/>
      <c r="N49" s="17"/>
      <c r="O49" s="17"/>
      <c r="P49" s="17"/>
      <c r="Q49" s="17"/>
      <c r="R49" s="17"/>
      <c r="S49" s="17"/>
      <c r="AB49" s="41" t="s">
        <v>66</v>
      </c>
      <c r="AC49" s="63" t="s">
        <v>109</v>
      </c>
      <c r="AD49" s="64">
        <v>9901</v>
      </c>
    </row>
    <row r="50" spans="2:30" x14ac:dyDescent="0.55000000000000004">
      <c r="B50" s="20"/>
      <c r="M50" s="17"/>
      <c r="N50" s="17"/>
      <c r="O50" s="17"/>
      <c r="P50" s="17"/>
      <c r="Q50" s="17"/>
      <c r="R50" s="17"/>
      <c r="S50" s="17"/>
      <c r="AB50" s="41" t="s">
        <v>66</v>
      </c>
      <c r="AC50" s="63" t="s">
        <v>110</v>
      </c>
      <c r="AD50" s="64">
        <v>77776001</v>
      </c>
    </row>
    <row r="51" spans="2:30" x14ac:dyDescent="0.55000000000000004">
      <c r="B51" s="20"/>
      <c r="M51" s="17"/>
      <c r="N51" s="17"/>
      <c r="O51" s="17"/>
      <c r="P51" s="17"/>
      <c r="Q51" s="17"/>
      <c r="R51" s="17"/>
      <c r="S51" s="17"/>
      <c r="AB51" s="41" t="s">
        <v>66</v>
      </c>
      <c r="AC51" s="63">
        <v>930218</v>
      </c>
      <c r="AD51" s="64">
        <v>9901</v>
      </c>
    </row>
    <row r="52" spans="2:30" x14ac:dyDescent="0.55000000000000004">
      <c r="B52" s="20"/>
      <c r="M52" s="17"/>
      <c r="N52" s="17"/>
      <c r="O52" s="17"/>
      <c r="P52" s="17"/>
      <c r="Q52" s="17"/>
      <c r="R52" s="17"/>
      <c r="S52" s="17"/>
      <c r="AB52" s="41" t="s">
        <v>66</v>
      </c>
      <c r="AC52" s="63" t="s">
        <v>83</v>
      </c>
      <c r="AD52" s="64">
        <v>9901</v>
      </c>
    </row>
    <row r="53" spans="2:30" x14ac:dyDescent="0.55000000000000004">
      <c r="B53" s="20"/>
      <c r="M53" s="17"/>
      <c r="N53" s="17"/>
      <c r="O53" s="17"/>
      <c r="P53" s="17"/>
      <c r="Q53" s="17"/>
      <c r="R53" s="17"/>
      <c r="S53" s="17"/>
      <c r="AB53" s="41" t="s">
        <v>66</v>
      </c>
      <c r="AC53" s="63" t="s">
        <v>111</v>
      </c>
      <c r="AD53" s="64">
        <v>9901</v>
      </c>
    </row>
    <row r="54" spans="2:30" x14ac:dyDescent="0.55000000000000004">
      <c r="B54" s="20"/>
      <c r="M54" s="17"/>
      <c r="N54" s="17"/>
      <c r="O54" s="17"/>
      <c r="P54" s="17"/>
      <c r="Q54" s="17"/>
      <c r="R54" s="17"/>
      <c r="S54" s="17"/>
      <c r="AB54" s="41" t="s">
        <v>66</v>
      </c>
      <c r="AC54" s="63" t="s">
        <v>112</v>
      </c>
      <c r="AD54" s="64">
        <v>77776001</v>
      </c>
    </row>
    <row r="55" spans="2:30" x14ac:dyDescent="0.55000000000000004">
      <c r="B55" s="20"/>
      <c r="AB55" s="41" t="s">
        <v>66</v>
      </c>
      <c r="AC55" s="63" t="s">
        <v>85</v>
      </c>
      <c r="AD55" s="64">
        <v>9901</v>
      </c>
    </row>
    <row r="56" spans="2:30" x14ac:dyDescent="0.55000000000000004">
      <c r="B56" s="20"/>
      <c r="AB56" s="41" t="s">
        <v>66</v>
      </c>
      <c r="AC56" s="63" t="s">
        <v>113</v>
      </c>
      <c r="AD56" s="64">
        <v>9901</v>
      </c>
    </row>
    <row r="57" spans="2:30" x14ac:dyDescent="0.55000000000000004">
      <c r="B57" s="20"/>
      <c r="AB57" s="41" t="s">
        <v>66</v>
      </c>
      <c r="AC57" s="63" t="s">
        <v>114</v>
      </c>
      <c r="AD57" s="64">
        <v>77776001</v>
      </c>
    </row>
    <row r="58" spans="2:30" x14ac:dyDescent="0.55000000000000004">
      <c r="B58" s="20"/>
      <c r="AB58" s="41" t="s">
        <v>66</v>
      </c>
      <c r="AC58" s="63" t="s">
        <v>86</v>
      </c>
      <c r="AD58" s="64">
        <v>9901</v>
      </c>
    </row>
    <row r="59" spans="2:30" x14ac:dyDescent="0.55000000000000004">
      <c r="B59" s="20"/>
      <c r="AB59" s="41" t="s">
        <v>66</v>
      </c>
      <c r="AC59" s="63" t="s">
        <v>115</v>
      </c>
      <c r="AD59" s="64">
        <v>9901</v>
      </c>
    </row>
    <row r="60" spans="2:30" ht="14.7" thickBot="1" x14ac:dyDescent="0.6">
      <c r="B60" s="21"/>
      <c r="AB60" s="41" t="s">
        <v>66</v>
      </c>
      <c r="AC60" s="63" t="s">
        <v>116</v>
      </c>
      <c r="AD60" s="64">
        <v>9901</v>
      </c>
    </row>
    <row r="61" spans="2:30" x14ac:dyDescent="0.55000000000000004">
      <c r="AB61" s="41" t="s">
        <v>66</v>
      </c>
      <c r="AC61" s="63" t="s">
        <v>117</v>
      </c>
      <c r="AD61" s="64">
        <v>77776001</v>
      </c>
    </row>
    <row r="62" spans="2:30" x14ac:dyDescent="0.55000000000000004">
      <c r="AB62" s="41" t="s">
        <v>66</v>
      </c>
      <c r="AC62" s="63" t="s">
        <v>118</v>
      </c>
      <c r="AD62" s="64">
        <v>9901</v>
      </c>
    </row>
    <row r="63" spans="2:30" x14ac:dyDescent="0.55000000000000004">
      <c r="AB63" s="41" t="s">
        <v>66</v>
      </c>
      <c r="AC63" s="63" t="s">
        <v>119</v>
      </c>
      <c r="AD63" s="64">
        <v>77776001</v>
      </c>
    </row>
    <row r="64" spans="2:30" x14ac:dyDescent="0.55000000000000004">
      <c r="AB64" s="41" t="s">
        <v>66</v>
      </c>
      <c r="AC64" s="63" t="s">
        <v>120</v>
      </c>
      <c r="AD64" s="64">
        <v>77776001</v>
      </c>
    </row>
    <row r="65" spans="28:30" x14ac:dyDescent="0.55000000000000004">
      <c r="AB65" s="41" t="s">
        <v>66</v>
      </c>
      <c r="AC65" s="63" t="s">
        <v>121</v>
      </c>
      <c r="AD65" s="64">
        <v>9901</v>
      </c>
    </row>
    <row r="66" spans="28:30" x14ac:dyDescent="0.55000000000000004">
      <c r="AB66" s="41" t="s">
        <v>66</v>
      </c>
      <c r="AC66" s="63" t="s">
        <v>87</v>
      </c>
      <c r="AD66" s="64">
        <v>9901</v>
      </c>
    </row>
    <row r="67" spans="28:30" x14ac:dyDescent="0.55000000000000004">
      <c r="AB67" s="41" t="s">
        <v>66</v>
      </c>
      <c r="AC67" s="63" t="s">
        <v>89</v>
      </c>
      <c r="AD67" s="64">
        <v>9901</v>
      </c>
    </row>
    <row r="68" spans="28:30" x14ac:dyDescent="0.55000000000000004">
      <c r="AB68" s="41" t="s">
        <v>66</v>
      </c>
      <c r="AC68" s="63" t="s">
        <v>122</v>
      </c>
      <c r="AD68" s="64">
        <v>77776001</v>
      </c>
    </row>
    <row r="69" spans="28:30" x14ac:dyDescent="0.55000000000000004">
      <c r="AB69" s="41" t="s">
        <v>66</v>
      </c>
      <c r="AC69" s="63" t="s">
        <v>123</v>
      </c>
      <c r="AD69" s="64">
        <v>9901</v>
      </c>
    </row>
    <row r="70" spans="28:30" x14ac:dyDescent="0.55000000000000004">
      <c r="AB70" s="41" t="s">
        <v>66</v>
      </c>
      <c r="AC70" s="63" t="s">
        <v>124</v>
      </c>
      <c r="AD70" s="64">
        <v>9901</v>
      </c>
    </row>
    <row r="71" spans="28:30" x14ac:dyDescent="0.55000000000000004">
      <c r="AB71" s="41" t="s">
        <v>66</v>
      </c>
      <c r="AC71" s="63" t="s">
        <v>88</v>
      </c>
      <c r="AD71" s="64">
        <v>77776001</v>
      </c>
    </row>
    <row r="72" spans="28:30" x14ac:dyDescent="0.55000000000000004">
      <c r="AB72" s="41" t="s">
        <v>66</v>
      </c>
      <c r="AC72" s="63" t="s">
        <v>81</v>
      </c>
      <c r="AD72" s="64">
        <v>9901</v>
      </c>
    </row>
    <row r="73" spans="28:30" x14ac:dyDescent="0.55000000000000004">
      <c r="AB73" s="41" t="s">
        <v>66</v>
      </c>
      <c r="AC73" s="78" t="s">
        <v>90</v>
      </c>
      <c r="AD73" s="64">
        <v>9901</v>
      </c>
    </row>
    <row r="74" spans="28:30" x14ac:dyDescent="0.55000000000000004">
      <c r="AB74" s="41"/>
      <c r="AC74" s="63"/>
      <c r="AD74" s="64"/>
    </row>
    <row r="75" spans="28:30" x14ac:dyDescent="0.55000000000000004">
      <c r="AB75" s="41"/>
      <c r="AC75" s="63"/>
      <c r="AD75" s="64"/>
    </row>
    <row r="76" spans="28:30" x14ac:dyDescent="0.55000000000000004">
      <c r="AB76" s="41"/>
      <c r="AC76" s="63"/>
      <c r="AD76" s="64"/>
    </row>
    <row r="77" spans="28:30" x14ac:dyDescent="0.55000000000000004">
      <c r="AB77" s="41"/>
      <c r="AC77" s="63"/>
      <c r="AD77" s="64"/>
    </row>
    <row r="78" spans="28:30" x14ac:dyDescent="0.55000000000000004">
      <c r="AB78" s="41"/>
      <c r="AC78" s="63"/>
      <c r="AD78" s="64"/>
    </row>
    <row r="79" spans="28:30" x14ac:dyDescent="0.55000000000000004">
      <c r="AB79" s="41"/>
      <c r="AC79" s="63"/>
      <c r="AD79" s="64"/>
    </row>
    <row r="80" spans="28:30" x14ac:dyDescent="0.55000000000000004">
      <c r="AB80" s="41"/>
      <c r="AC80" s="63"/>
      <c r="AD80" s="64"/>
    </row>
    <row r="81" spans="28:30" x14ac:dyDescent="0.55000000000000004">
      <c r="AB81" s="41"/>
      <c r="AC81" s="63"/>
      <c r="AD81" s="64"/>
    </row>
    <row r="82" spans="28:30" x14ac:dyDescent="0.55000000000000004">
      <c r="AB82" s="41"/>
      <c r="AC82" s="63"/>
      <c r="AD82" s="64"/>
    </row>
    <row r="83" spans="28:30" x14ac:dyDescent="0.55000000000000004">
      <c r="AB83" s="41"/>
      <c r="AC83" s="63"/>
      <c r="AD83" s="64"/>
    </row>
    <row r="84" spans="28:30" x14ac:dyDescent="0.55000000000000004">
      <c r="AB84" s="41"/>
      <c r="AC84" s="63"/>
      <c r="AD84" s="64"/>
    </row>
    <row r="85" spans="28:30" x14ac:dyDescent="0.55000000000000004">
      <c r="AB85" s="41"/>
      <c r="AC85" s="63"/>
      <c r="AD85" s="64"/>
    </row>
    <row r="86" spans="28:30" x14ac:dyDescent="0.55000000000000004">
      <c r="AB86" s="41"/>
      <c r="AC86" s="63"/>
      <c r="AD86" s="64"/>
    </row>
    <row r="87" spans="28:30" x14ac:dyDescent="0.55000000000000004">
      <c r="AB87" s="41"/>
      <c r="AC87" s="63"/>
      <c r="AD87" s="64"/>
    </row>
    <row r="88" spans="28:30" x14ac:dyDescent="0.55000000000000004">
      <c r="AB88" s="41"/>
      <c r="AC88" s="63"/>
      <c r="AD88" s="64"/>
    </row>
    <row r="89" spans="28:30" x14ac:dyDescent="0.55000000000000004">
      <c r="AB89" s="41"/>
      <c r="AC89" s="63"/>
      <c r="AD89" s="64"/>
    </row>
    <row r="90" spans="28:30" x14ac:dyDescent="0.55000000000000004">
      <c r="AB90" s="41"/>
      <c r="AC90" s="63"/>
      <c r="AD90" s="64"/>
    </row>
    <row r="91" spans="28:30" x14ac:dyDescent="0.55000000000000004">
      <c r="AB91" s="41"/>
      <c r="AC91" s="63"/>
      <c r="AD91" s="64"/>
    </row>
    <row r="92" spans="28:30" x14ac:dyDescent="0.55000000000000004">
      <c r="AB92" s="41"/>
      <c r="AC92" s="63"/>
      <c r="AD92" s="64"/>
    </row>
    <row r="93" spans="28:30" x14ac:dyDescent="0.55000000000000004">
      <c r="AB93" s="41"/>
      <c r="AC93" s="63"/>
      <c r="AD93" s="64"/>
    </row>
    <row r="94" spans="28:30" x14ac:dyDescent="0.55000000000000004">
      <c r="AB94" s="41"/>
      <c r="AC94" s="63"/>
      <c r="AD94" s="64"/>
    </row>
    <row r="95" spans="28:30" x14ac:dyDescent="0.55000000000000004">
      <c r="AB95" s="41"/>
      <c r="AC95" s="63"/>
      <c r="AD95" s="64"/>
    </row>
    <row r="96" spans="28:30" x14ac:dyDescent="0.55000000000000004">
      <c r="AB96" s="41"/>
      <c r="AC96" s="63"/>
      <c r="AD96" s="64"/>
    </row>
    <row r="97" spans="28:30" x14ac:dyDescent="0.55000000000000004">
      <c r="AB97" s="41"/>
      <c r="AC97" s="63"/>
      <c r="AD97" s="64"/>
    </row>
    <row r="98" spans="28:30" x14ac:dyDescent="0.55000000000000004">
      <c r="AB98" s="41"/>
      <c r="AC98" s="63"/>
      <c r="AD98" s="64"/>
    </row>
    <row r="99" spans="28:30" x14ac:dyDescent="0.55000000000000004">
      <c r="AB99" s="41"/>
      <c r="AC99" s="63"/>
      <c r="AD99" s="64"/>
    </row>
    <row r="100" spans="28:30" x14ac:dyDescent="0.55000000000000004">
      <c r="AB100" s="41"/>
      <c r="AC100" s="63"/>
      <c r="AD100" s="64"/>
    </row>
    <row r="101" spans="28:30" x14ac:dyDescent="0.55000000000000004">
      <c r="AB101" s="41"/>
      <c r="AC101" s="63"/>
      <c r="AD101" s="64"/>
    </row>
    <row r="102" spans="28:30" x14ac:dyDescent="0.55000000000000004">
      <c r="AB102" s="41"/>
      <c r="AC102" s="63"/>
      <c r="AD102" s="64"/>
    </row>
    <row r="103" spans="28:30" x14ac:dyDescent="0.55000000000000004">
      <c r="AB103" s="41"/>
      <c r="AC103" s="63"/>
      <c r="AD103" s="64"/>
    </row>
    <row r="104" spans="28:30" x14ac:dyDescent="0.55000000000000004">
      <c r="AB104" s="41"/>
      <c r="AC104" s="63"/>
      <c r="AD104" s="64"/>
    </row>
    <row r="105" spans="28:30" x14ac:dyDescent="0.55000000000000004">
      <c r="AB105" s="41"/>
      <c r="AC105" s="63"/>
      <c r="AD105" s="64"/>
    </row>
    <row r="106" spans="28:30" x14ac:dyDescent="0.55000000000000004">
      <c r="AB106" s="41"/>
      <c r="AC106" s="63"/>
      <c r="AD106" s="64"/>
    </row>
    <row r="107" spans="28:30" x14ac:dyDescent="0.55000000000000004">
      <c r="AB107" s="41"/>
      <c r="AC107" s="63"/>
      <c r="AD107" s="64"/>
    </row>
    <row r="108" spans="28:30" x14ac:dyDescent="0.55000000000000004">
      <c r="AB108" s="41"/>
      <c r="AC108" s="63"/>
      <c r="AD108" s="64"/>
    </row>
    <row r="109" spans="28:30" x14ac:dyDescent="0.55000000000000004">
      <c r="AB109" s="41"/>
      <c r="AC109" s="63"/>
      <c r="AD109" s="64"/>
    </row>
    <row r="110" spans="28:30" x14ac:dyDescent="0.55000000000000004">
      <c r="AB110" s="41"/>
      <c r="AC110" s="63"/>
      <c r="AD110" s="64"/>
    </row>
    <row r="111" spans="28:30" x14ac:dyDescent="0.55000000000000004">
      <c r="AB111" s="41"/>
      <c r="AC111" s="63"/>
      <c r="AD111" s="64"/>
    </row>
    <row r="112" spans="28:30" x14ac:dyDescent="0.55000000000000004">
      <c r="AB112" s="41"/>
      <c r="AC112" s="63"/>
      <c r="AD112" s="64"/>
    </row>
    <row r="113" spans="28:30" x14ac:dyDescent="0.55000000000000004">
      <c r="AB113" s="41"/>
      <c r="AC113" s="63"/>
      <c r="AD113" s="64"/>
    </row>
    <row r="114" spans="28:30" x14ac:dyDescent="0.55000000000000004">
      <c r="AB114" s="41"/>
      <c r="AC114" s="63"/>
      <c r="AD114" s="64"/>
    </row>
    <row r="115" spans="28:30" x14ac:dyDescent="0.55000000000000004">
      <c r="AB115" s="41"/>
      <c r="AC115" s="63"/>
      <c r="AD115" s="64"/>
    </row>
    <row r="116" spans="28:30" x14ac:dyDescent="0.55000000000000004">
      <c r="AB116" s="41"/>
      <c r="AC116" s="63"/>
      <c r="AD116" s="64"/>
    </row>
    <row r="117" spans="28:30" x14ac:dyDescent="0.55000000000000004">
      <c r="AB117" s="41"/>
      <c r="AC117" s="63"/>
      <c r="AD117" s="64"/>
    </row>
    <row r="118" spans="28:30" x14ac:dyDescent="0.55000000000000004">
      <c r="AB118" s="41"/>
      <c r="AC118" s="63"/>
      <c r="AD118" s="64"/>
    </row>
    <row r="119" spans="28:30" x14ac:dyDescent="0.55000000000000004">
      <c r="AB119" s="41"/>
      <c r="AC119" s="63"/>
      <c r="AD119" s="64"/>
    </row>
    <row r="120" spans="28:30" x14ac:dyDescent="0.55000000000000004">
      <c r="AB120" s="41"/>
      <c r="AC120" s="63"/>
      <c r="AD120" s="64"/>
    </row>
    <row r="121" spans="28:30" x14ac:dyDescent="0.55000000000000004">
      <c r="AB121" s="41"/>
      <c r="AC121" s="63"/>
      <c r="AD121" s="64"/>
    </row>
    <row r="122" spans="28:30" x14ac:dyDescent="0.55000000000000004">
      <c r="AB122" s="41"/>
      <c r="AC122" s="63"/>
      <c r="AD122" s="64"/>
    </row>
    <row r="123" spans="28:30" x14ac:dyDescent="0.55000000000000004">
      <c r="AB123" s="41"/>
      <c r="AC123" s="63"/>
      <c r="AD123" s="64"/>
    </row>
    <row r="124" spans="28:30" x14ac:dyDescent="0.55000000000000004">
      <c r="AB124" s="41"/>
      <c r="AC124" s="63"/>
      <c r="AD124" s="64"/>
    </row>
    <row r="125" spans="28:30" x14ac:dyDescent="0.55000000000000004">
      <c r="AB125" s="41"/>
      <c r="AC125" s="63"/>
      <c r="AD125" s="64"/>
    </row>
    <row r="126" spans="28:30" x14ac:dyDescent="0.55000000000000004">
      <c r="AB126" s="41"/>
      <c r="AC126" s="63"/>
      <c r="AD126" s="64"/>
    </row>
    <row r="127" spans="28:30" x14ac:dyDescent="0.55000000000000004">
      <c r="AB127" s="41"/>
      <c r="AC127" s="63"/>
      <c r="AD127" s="64"/>
    </row>
    <row r="128" spans="28:30" x14ac:dyDescent="0.55000000000000004">
      <c r="AB128" s="41"/>
      <c r="AC128" s="63"/>
      <c r="AD128" s="64"/>
    </row>
    <row r="129" spans="28:30" x14ac:dyDescent="0.55000000000000004">
      <c r="AB129" s="41"/>
      <c r="AC129" s="63"/>
      <c r="AD129" s="64"/>
    </row>
    <row r="130" spans="28:30" x14ac:dyDescent="0.55000000000000004">
      <c r="AB130" s="41"/>
      <c r="AC130" s="63"/>
      <c r="AD130" s="64"/>
    </row>
    <row r="131" spans="28:30" x14ac:dyDescent="0.55000000000000004">
      <c r="AB131" s="41"/>
      <c r="AC131" s="63"/>
      <c r="AD131" s="64"/>
    </row>
    <row r="132" spans="28:30" x14ac:dyDescent="0.55000000000000004">
      <c r="AB132" s="41"/>
      <c r="AC132" s="63"/>
      <c r="AD132" s="64"/>
    </row>
    <row r="133" spans="28:30" x14ac:dyDescent="0.55000000000000004">
      <c r="AB133" s="41"/>
      <c r="AC133" s="63"/>
      <c r="AD133" s="64"/>
    </row>
    <row r="134" spans="28:30" x14ac:dyDescent="0.55000000000000004">
      <c r="AB134" s="41"/>
      <c r="AC134" s="63"/>
      <c r="AD134" s="64"/>
    </row>
    <row r="135" spans="28:30" x14ac:dyDescent="0.55000000000000004">
      <c r="AB135" s="41"/>
      <c r="AC135" s="63"/>
      <c r="AD135" s="64"/>
    </row>
    <row r="136" spans="28:30" x14ac:dyDescent="0.55000000000000004">
      <c r="AB136" s="41"/>
      <c r="AC136" s="63"/>
      <c r="AD136" s="64"/>
    </row>
    <row r="137" spans="28:30" x14ac:dyDescent="0.55000000000000004">
      <c r="AB137" s="41"/>
      <c r="AC137" s="63"/>
      <c r="AD137" s="64"/>
    </row>
    <row r="138" spans="28:30" x14ac:dyDescent="0.55000000000000004">
      <c r="AB138" s="41"/>
      <c r="AC138" s="63"/>
      <c r="AD138" s="64"/>
    </row>
    <row r="139" spans="28:30" x14ac:dyDescent="0.55000000000000004">
      <c r="AB139" s="41"/>
      <c r="AC139" s="63"/>
      <c r="AD139" s="64"/>
    </row>
    <row r="140" spans="28:30" x14ac:dyDescent="0.55000000000000004">
      <c r="AB140" s="41"/>
      <c r="AC140" s="63"/>
      <c r="AD140" s="64"/>
    </row>
    <row r="141" spans="28:30" x14ac:dyDescent="0.55000000000000004">
      <c r="AB141" s="41"/>
      <c r="AC141" s="63"/>
      <c r="AD141" s="64"/>
    </row>
    <row r="142" spans="28:30" x14ac:dyDescent="0.55000000000000004">
      <c r="AB142" s="41"/>
      <c r="AC142" s="63"/>
      <c r="AD142" s="64"/>
    </row>
    <row r="143" spans="28:30" x14ac:dyDescent="0.55000000000000004">
      <c r="AB143" s="41"/>
      <c r="AC143" s="63"/>
      <c r="AD143" s="64"/>
    </row>
    <row r="144" spans="28:30" x14ac:dyDescent="0.55000000000000004">
      <c r="AB144" s="41"/>
      <c r="AC144" s="63"/>
      <c r="AD144" s="64"/>
    </row>
    <row r="145" spans="28:30" x14ac:dyDescent="0.55000000000000004">
      <c r="AB145" s="41"/>
      <c r="AC145" s="63"/>
      <c r="AD145" s="64"/>
    </row>
    <row r="146" spans="28:30" x14ac:dyDescent="0.55000000000000004">
      <c r="AB146" s="41"/>
      <c r="AC146" s="63"/>
      <c r="AD146" s="64"/>
    </row>
    <row r="147" spans="28:30" x14ac:dyDescent="0.55000000000000004">
      <c r="AB147" s="41"/>
      <c r="AC147" s="63"/>
      <c r="AD147" s="64"/>
    </row>
    <row r="148" spans="28:30" x14ac:dyDescent="0.55000000000000004">
      <c r="AB148" s="41"/>
      <c r="AC148" s="63"/>
      <c r="AD148" s="64"/>
    </row>
    <row r="149" spans="28:30" x14ac:dyDescent="0.55000000000000004">
      <c r="AB149" s="41"/>
      <c r="AC149" s="63"/>
      <c r="AD149" s="64"/>
    </row>
    <row r="150" spans="28:30" x14ac:dyDescent="0.55000000000000004">
      <c r="AB150" s="41"/>
      <c r="AC150" s="63"/>
      <c r="AD150" s="64"/>
    </row>
    <row r="151" spans="28:30" x14ac:dyDescent="0.55000000000000004">
      <c r="AB151" s="41"/>
      <c r="AC151" s="63"/>
      <c r="AD151" s="64"/>
    </row>
    <row r="152" spans="28:30" x14ac:dyDescent="0.55000000000000004">
      <c r="AB152" s="41"/>
      <c r="AC152" s="63"/>
      <c r="AD152" s="64"/>
    </row>
    <row r="153" spans="28:30" x14ac:dyDescent="0.55000000000000004">
      <c r="AB153" s="41"/>
      <c r="AC153" s="63"/>
      <c r="AD153" s="64"/>
    </row>
    <row r="154" spans="28:30" x14ac:dyDescent="0.55000000000000004">
      <c r="AB154" s="41"/>
      <c r="AC154" s="63"/>
      <c r="AD154" s="64"/>
    </row>
    <row r="155" spans="28:30" x14ac:dyDescent="0.55000000000000004">
      <c r="AB155" s="41"/>
      <c r="AC155" s="63"/>
      <c r="AD155" s="64"/>
    </row>
    <row r="156" spans="28:30" x14ac:dyDescent="0.55000000000000004">
      <c r="AB156" s="41"/>
      <c r="AC156" s="63"/>
      <c r="AD156" s="64"/>
    </row>
    <row r="157" spans="28:30" x14ac:dyDescent="0.55000000000000004">
      <c r="AB157" s="41"/>
      <c r="AC157" s="63"/>
      <c r="AD157" s="64"/>
    </row>
    <row r="158" spans="28:30" x14ac:dyDescent="0.55000000000000004">
      <c r="AB158" s="41"/>
      <c r="AC158" s="63"/>
      <c r="AD158" s="64"/>
    </row>
    <row r="159" spans="28:30" x14ac:dyDescent="0.55000000000000004">
      <c r="AB159" s="41"/>
      <c r="AC159" s="63"/>
      <c r="AD159" s="64"/>
    </row>
    <row r="160" spans="28:30" x14ac:dyDescent="0.55000000000000004">
      <c r="AB160" s="41"/>
      <c r="AC160" s="63"/>
      <c r="AD160" s="64"/>
    </row>
    <row r="161" spans="28:30" x14ac:dyDescent="0.55000000000000004">
      <c r="AB161" s="41"/>
      <c r="AC161" s="63"/>
      <c r="AD161" s="64"/>
    </row>
    <row r="162" spans="28:30" x14ac:dyDescent="0.55000000000000004">
      <c r="AB162" s="41"/>
      <c r="AC162" s="63"/>
      <c r="AD162" s="64"/>
    </row>
    <row r="163" spans="28:30" x14ac:dyDescent="0.55000000000000004">
      <c r="AB163" s="41"/>
      <c r="AC163" s="63"/>
      <c r="AD163" s="64"/>
    </row>
    <row r="164" spans="28:30" x14ac:dyDescent="0.55000000000000004">
      <c r="AB164" s="41"/>
      <c r="AC164" s="63"/>
      <c r="AD164" s="64"/>
    </row>
    <row r="165" spans="28:30" x14ac:dyDescent="0.55000000000000004">
      <c r="AB165" s="41"/>
      <c r="AC165" s="63"/>
      <c r="AD165" s="64"/>
    </row>
    <row r="166" spans="28:30" x14ac:dyDescent="0.55000000000000004">
      <c r="AB166" s="41"/>
      <c r="AC166" s="63"/>
      <c r="AD166" s="64"/>
    </row>
    <row r="167" spans="28:30" x14ac:dyDescent="0.55000000000000004">
      <c r="AB167" s="41"/>
      <c r="AC167" s="63"/>
      <c r="AD167" s="64"/>
    </row>
    <row r="168" spans="28:30" x14ac:dyDescent="0.55000000000000004">
      <c r="AB168" s="41"/>
      <c r="AC168" s="63"/>
      <c r="AD168" s="64"/>
    </row>
    <row r="169" spans="28:30" x14ac:dyDescent="0.55000000000000004">
      <c r="AB169" s="41"/>
      <c r="AC169" s="63"/>
      <c r="AD169" s="64"/>
    </row>
    <row r="170" spans="28:30" x14ac:dyDescent="0.55000000000000004">
      <c r="AB170" s="41"/>
      <c r="AC170" s="63"/>
      <c r="AD170" s="64"/>
    </row>
    <row r="171" spans="28:30" x14ac:dyDescent="0.55000000000000004">
      <c r="AB171" s="41"/>
      <c r="AC171" s="63"/>
      <c r="AD171" s="64"/>
    </row>
    <row r="172" spans="28:30" x14ac:dyDescent="0.55000000000000004">
      <c r="AB172" s="41"/>
      <c r="AC172" s="63"/>
      <c r="AD172" s="64"/>
    </row>
    <row r="173" spans="28:30" x14ac:dyDescent="0.55000000000000004">
      <c r="AB173" s="41"/>
      <c r="AC173" s="63"/>
      <c r="AD173" s="64"/>
    </row>
    <row r="174" spans="28:30" x14ac:dyDescent="0.55000000000000004">
      <c r="AB174" s="41"/>
      <c r="AC174" s="63"/>
      <c r="AD174" s="64"/>
    </row>
    <row r="175" spans="28:30" x14ac:dyDescent="0.55000000000000004">
      <c r="AB175" s="41"/>
      <c r="AC175" s="63"/>
      <c r="AD175" s="64"/>
    </row>
    <row r="176" spans="28:30" x14ac:dyDescent="0.55000000000000004">
      <c r="AB176" s="41"/>
      <c r="AC176" s="63"/>
      <c r="AD176" s="64"/>
    </row>
    <row r="177" spans="28:30" x14ac:dyDescent="0.55000000000000004">
      <c r="AB177" s="41"/>
      <c r="AC177" s="63"/>
      <c r="AD177" s="64"/>
    </row>
    <row r="178" spans="28:30" x14ac:dyDescent="0.55000000000000004">
      <c r="AB178" s="41"/>
      <c r="AC178" s="63"/>
      <c r="AD178" s="64"/>
    </row>
    <row r="179" spans="28:30" x14ac:dyDescent="0.55000000000000004">
      <c r="AB179" s="41"/>
      <c r="AC179" s="63"/>
      <c r="AD179" s="64"/>
    </row>
    <row r="180" spans="28:30" x14ac:dyDescent="0.55000000000000004">
      <c r="AB180" s="41"/>
      <c r="AC180" s="63"/>
      <c r="AD180" s="64"/>
    </row>
    <row r="181" spans="28:30" x14ac:dyDescent="0.55000000000000004">
      <c r="AB181" s="41"/>
      <c r="AC181" s="63"/>
      <c r="AD181" s="64"/>
    </row>
    <row r="182" spans="28:30" x14ac:dyDescent="0.55000000000000004">
      <c r="AB182" s="41"/>
      <c r="AC182" s="63"/>
      <c r="AD182" s="64"/>
    </row>
    <row r="183" spans="28:30" x14ac:dyDescent="0.55000000000000004">
      <c r="AB183" s="41"/>
      <c r="AC183" s="63"/>
      <c r="AD183" s="64"/>
    </row>
    <row r="184" spans="28:30" x14ac:dyDescent="0.55000000000000004">
      <c r="AB184" s="41"/>
      <c r="AC184" s="63"/>
      <c r="AD184" s="64"/>
    </row>
    <row r="185" spans="28:30" x14ac:dyDescent="0.55000000000000004">
      <c r="AB185" s="41"/>
      <c r="AC185" s="63"/>
      <c r="AD185" s="64"/>
    </row>
    <row r="186" spans="28:30" x14ac:dyDescent="0.55000000000000004">
      <c r="AB186" s="41"/>
      <c r="AC186" s="63"/>
      <c r="AD186" s="64"/>
    </row>
    <row r="187" spans="28:30" x14ac:dyDescent="0.55000000000000004">
      <c r="AB187" s="41"/>
      <c r="AC187" s="63"/>
      <c r="AD187" s="64"/>
    </row>
    <row r="188" spans="28:30" x14ac:dyDescent="0.55000000000000004">
      <c r="AB188" s="41"/>
      <c r="AC188" s="63"/>
      <c r="AD188" s="64"/>
    </row>
    <row r="189" spans="28:30" x14ac:dyDescent="0.55000000000000004">
      <c r="AB189" s="41"/>
      <c r="AC189" s="63"/>
      <c r="AD189" s="64"/>
    </row>
    <row r="190" spans="28:30" x14ac:dyDescent="0.55000000000000004">
      <c r="AB190" s="41"/>
      <c r="AC190" s="63"/>
      <c r="AD190" s="64"/>
    </row>
    <row r="191" spans="28:30" x14ac:dyDescent="0.55000000000000004">
      <c r="AB191" s="41"/>
      <c r="AC191" s="63"/>
      <c r="AD191" s="64"/>
    </row>
    <row r="192" spans="28:30" x14ac:dyDescent="0.55000000000000004">
      <c r="AB192" s="41"/>
      <c r="AC192" s="63"/>
      <c r="AD192" s="64"/>
    </row>
    <row r="193" spans="28:30" x14ac:dyDescent="0.55000000000000004">
      <c r="AB193" s="41"/>
      <c r="AC193" s="63"/>
      <c r="AD193" s="64"/>
    </row>
    <row r="194" spans="28:30" x14ac:dyDescent="0.55000000000000004">
      <c r="AB194" s="41"/>
      <c r="AC194" s="63"/>
      <c r="AD194" s="64"/>
    </row>
    <row r="195" spans="28:30" x14ac:dyDescent="0.55000000000000004">
      <c r="AB195" s="41"/>
      <c r="AC195" s="63"/>
      <c r="AD195" s="64"/>
    </row>
    <row r="196" spans="28:30" x14ac:dyDescent="0.55000000000000004">
      <c r="AB196" s="41"/>
      <c r="AC196" s="63"/>
      <c r="AD196" s="64"/>
    </row>
    <row r="197" spans="28:30" x14ac:dyDescent="0.55000000000000004">
      <c r="AB197" s="41"/>
      <c r="AC197" s="63"/>
      <c r="AD197" s="64"/>
    </row>
    <row r="198" spans="28:30" x14ac:dyDescent="0.55000000000000004">
      <c r="AB198" s="41"/>
      <c r="AC198" s="63"/>
      <c r="AD198" s="64"/>
    </row>
    <row r="199" spans="28:30" x14ac:dyDescent="0.55000000000000004">
      <c r="AB199" s="41"/>
      <c r="AC199" s="63"/>
      <c r="AD199" s="64"/>
    </row>
    <row r="200" spans="28:30" x14ac:dyDescent="0.55000000000000004">
      <c r="AB200" s="41"/>
      <c r="AC200" s="63"/>
      <c r="AD200" s="64"/>
    </row>
    <row r="201" spans="28:30" x14ac:dyDescent="0.55000000000000004">
      <c r="AB201" s="41"/>
      <c r="AC201" s="63"/>
      <c r="AD201" s="64"/>
    </row>
    <row r="202" spans="28:30" x14ac:dyDescent="0.55000000000000004">
      <c r="AB202" s="41"/>
      <c r="AC202" s="63"/>
      <c r="AD202" s="64"/>
    </row>
    <row r="203" spans="28:30" x14ac:dyDescent="0.55000000000000004">
      <c r="AB203" s="41"/>
      <c r="AC203" s="63"/>
      <c r="AD203" s="64"/>
    </row>
    <row r="204" spans="28:30" x14ac:dyDescent="0.55000000000000004">
      <c r="AB204" s="41"/>
      <c r="AC204" s="63"/>
      <c r="AD204" s="64"/>
    </row>
    <row r="205" spans="28:30" x14ac:dyDescent="0.55000000000000004">
      <c r="AB205" s="41"/>
      <c r="AC205" s="63"/>
      <c r="AD205" s="64"/>
    </row>
    <row r="206" spans="28:30" x14ac:dyDescent="0.55000000000000004">
      <c r="AB206" s="41"/>
      <c r="AC206" s="63"/>
      <c r="AD206" s="64"/>
    </row>
    <row r="207" spans="28:30" x14ac:dyDescent="0.55000000000000004">
      <c r="AB207" s="41"/>
      <c r="AC207" s="63"/>
      <c r="AD207" s="64"/>
    </row>
    <row r="208" spans="28:30" x14ac:dyDescent="0.55000000000000004">
      <c r="AB208" s="41"/>
      <c r="AC208" s="63"/>
      <c r="AD208" s="64"/>
    </row>
    <row r="209" spans="28:30" x14ac:dyDescent="0.55000000000000004">
      <c r="AB209" s="41"/>
      <c r="AC209" s="63"/>
      <c r="AD209" s="64"/>
    </row>
    <row r="210" spans="28:30" x14ac:dyDescent="0.55000000000000004">
      <c r="AB210" s="41"/>
      <c r="AC210" s="63"/>
      <c r="AD210" s="64"/>
    </row>
    <row r="211" spans="28:30" x14ac:dyDescent="0.55000000000000004">
      <c r="AB211" s="41"/>
      <c r="AC211" s="63"/>
      <c r="AD211" s="64"/>
    </row>
    <row r="212" spans="28:30" x14ac:dyDescent="0.55000000000000004">
      <c r="AB212" s="41"/>
      <c r="AC212" s="63"/>
      <c r="AD212" s="64"/>
    </row>
    <row r="213" spans="28:30" x14ac:dyDescent="0.55000000000000004">
      <c r="AB213" s="41"/>
      <c r="AC213" s="63"/>
      <c r="AD213" s="64"/>
    </row>
    <row r="214" spans="28:30" x14ac:dyDescent="0.55000000000000004">
      <c r="AB214" s="41"/>
      <c r="AC214" s="63"/>
      <c r="AD214" s="64"/>
    </row>
    <row r="215" spans="28:30" x14ac:dyDescent="0.55000000000000004">
      <c r="AB215" s="41"/>
      <c r="AC215" s="63"/>
      <c r="AD215" s="64"/>
    </row>
    <row r="216" spans="28:30" x14ac:dyDescent="0.55000000000000004">
      <c r="AB216" s="41"/>
      <c r="AC216" s="63"/>
      <c r="AD216" s="64"/>
    </row>
    <row r="217" spans="28:30" x14ac:dyDescent="0.55000000000000004">
      <c r="AB217" s="41"/>
      <c r="AC217" s="63"/>
      <c r="AD217" s="64"/>
    </row>
    <row r="218" spans="28:30" x14ac:dyDescent="0.55000000000000004">
      <c r="AB218" s="41"/>
      <c r="AC218" s="63"/>
      <c r="AD218" s="64"/>
    </row>
    <row r="219" spans="28:30" x14ac:dyDescent="0.55000000000000004">
      <c r="AB219" s="41"/>
      <c r="AC219" s="63"/>
      <c r="AD219" s="64"/>
    </row>
    <row r="220" spans="28:30" x14ac:dyDescent="0.55000000000000004">
      <c r="AB220" s="41"/>
      <c r="AC220" s="63"/>
      <c r="AD220" s="64"/>
    </row>
    <row r="221" spans="28:30" x14ac:dyDescent="0.55000000000000004">
      <c r="AB221" s="41"/>
      <c r="AC221" s="63"/>
      <c r="AD221" s="64"/>
    </row>
    <row r="222" spans="28:30" x14ac:dyDescent="0.55000000000000004">
      <c r="AB222" s="41"/>
      <c r="AC222" s="63"/>
      <c r="AD222" s="64"/>
    </row>
    <row r="223" spans="28:30" x14ac:dyDescent="0.55000000000000004">
      <c r="AB223" s="41"/>
      <c r="AC223" s="63"/>
      <c r="AD223" s="64"/>
    </row>
    <row r="224" spans="28:30" x14ac:dyDescent="0.55000000000000004">
      <c r="AB224" s="41"/>
      <c r="AC224" s="63"/>
      <c r="AD224" s="64"/>
    </row>
    <row r="225" spans="28:30" x14ac:dyDescent="0.55000000000000004">
      <c r="AB225" s="41"/>
      <c r="AC225" s="63"/>
      <c r="AD225" s="64"/>
    </row>
    <row r="226" spans="28:30" x14ac:dyDescent="0.55000000000000004">
      <c r="AB226" s="41"/>
      <c r="AC226" s="63"/>
      <c r="AD226" s="64"/>
    </row>
    <row r="227" spans="28:30" x14ac:dyDescent="0.55000000000000004">
      <c r="AB227" s="41"/>
      <c r="AC227" s="63"/>
      <c r="AD227" s="64"/>
    </row>
    <row r="228" spans="28:30" x14ac:dyDescent="0.55000000000000004">
      <c r="AB228" s="41"/>
      <c r="AC228" s="63"/>
      <c r="AD228" s="64"/>
    </row>
    <row r="229" spans="28:30" x14ac:dyDescent="0.55000000000000004">
      <c r="AB229" s="41"/>
      <c r="AC229" s="63"/>
      <c r="AD229" s="64"/>
    </row>
    <row r="230" spans="28:30" x14ac:dyDescent="0.55000000000000004">
      <c r="AB230" s="41"/>
      <c r="AC230" s="63"/>
      <c r="AD230" s="64"/>
    </row>
    <row r="231" spans="28:30" x14ac:dyDescent="0.55000000000000004">
      <c r="AB231" s="41"/>
      <c r="AC231" s="63"/>
      <c r="AD231" s="64"/>
    </row>
    <row r="232" spans="28:30" x14ac:dyDescent="0.55000000000000004">
      <c r="AB232" s="41"/>
      <c r="AC232" s="63"/>
      <c r="AD232" s="64"/>
    </row>
    <row r="233" spans="28:30" x14ac:dyDescent="0.55000000000000004">
      <c r="AB233" s="41"/>
      <c r="AC233" s="63"/>
      <c r="AD233" s="64"/>
    </row>
    <row r="234" spans="28:30" x14ac:dyDescent="0.55000000000000004">
      <c r="AB234" s="41"/>
      <c r="AC234" s="63"/>
      <c r="AD234" s="64"/>
    </row>
    <row r="235" spans="28:30" x14ac:dyDescent="0.55000000000000004">
      <c r="AB235" s="41"/>
      <c r="AC235" s="63"/>
      <c r="AD235" s="64"/>
    </row>
    <row r="236" spans="28:30" x14ac:dyDescent="0.55000000000000004">
      <c r="AB236" s="41"/>
      <c r="AC236" s="63"/>
      <c r="AD236" s="64"/>
    </row>
    <row r="237" spans="28:30" x14ac:dyDescent="0.55000000000000004">
      <c r="AB237" s="41"/>
      <c r="AC237" s="63"/>
      <c r="AD237" s="64"/>
    </row>
    <row r="238" spans="28:30" x14ac:dyDescent="0.55000000000000004">
      <c r="AB238" s="41"/>
      <c r="AC238" s="63"/>
      <c r="AD238" s="64"/>
    </row>
    <row r="239" spans="28:30" x14ac:dyDescent="0.55000000000000004">
      <c r="AB239" s="41"/>
      <c r="AC239" s="63"/>
      <c r="AD239" s="64"/>
    </row>
    <row r="240" spans="28:30" x14ac:dyDescent="0.55000000000000004">
      <c r="AB240" s="41"/>
      <c r="AC240" s="63"/>
      <c r="AD240" s="64"/>
    </row>
    <row r="241" spans="28:30" x14ac:dyDescent="0.55000000000000004">
      <c r="AB241" s="41"/>
      <c r="AC241" s="63"/>
      <c r="AD241" s="64"/>
    </row>
    <row r="242" spans="28:30" x14ac:dyDescent="0.55000000000000004">
      <c r="AB242" s="41"/>
      <c r="AC242" s="63"/>
      <c r="AD242" s="64"/>
    </row>
    <row r="243" spans="28:30" x14ac:dyDescent="0.55000000000000004">
      <c r="AB243" s="41"/>
      <c r="AC243" s="63"/>
      <c r="AD243" s="64"/>
    </row>
    <row r="244" spans="28:30" x14ac:dyDescent="0.55000000000000004">
      <c r="AB244" s="41"/>
      <c r="AC244" s="63"/>
      <c r="AD244" s="64"/>
    </row>
    <row r="245" spans="28:30" x14ac:dyDescent="0.55000000000000004">
      <c r="AB245" s="41"/>
      <c r="AC245" s="63"/>
      <c r="AD245" s="64"/>
    </row>
    <row r="246" spans="28:30" x14ac:dyDescent="0.55000000000000004">
      <c r="AB246" s="41"/>
      <c r="AC246" s="63"/>
      <c r="AD246" s="64"/>
    </row>
    <row r="247" spans="28:30" x14ac:dyDescent="0.55000000000000004">
      <c r="AB247" s="41"/>
      <c r="AC247" s="63"/>
      <c r="AD247" s="64"/>
    </row>
    <row r="248" spans="28:30" x14ac:dyDescent="0.55000000000000004">
      <c r="AB248" s="41"/>
      <c r="AC248" s="63"/>
      <c r="AD248" s="64"/>
    </row>
    <row r="249" spans="28:30" x14ac:dyDescent="0.55000000000000004">
      <c r="AB249" s="41"/>
      <c r="AC249" s="63"/>
      <c r="AD249" s="64"/>
    </row>
    <row r="250" spans="28:30" x14ac:dyDescent="0.55000000000000004">
      <c r="AB250" s="41"/>
      <c r="AC250" s="63"/>
      <c r="AD250" s="64"/>
    </row>
    <row r="251" spans="28:30" x14ac:dyDescent="0.55000000000000004">
      <c r="AB251" s="41"/>
      <c r="AC251" s="63"/>
      <c r="AD251" s="64"/>
    </row>
    <row r="252" spans="28:30" x14ac:dyDescent="0.55000000000000004">
      <c r="AB252" s="41"/>
      <c r="AC252" s="63"/>
      <c r="AD252" s="64"/>
    </row>
    <row r="253" spans="28:30" x14ac:dyDescent="0.55000000000000004">
      <c r="AB253" s="41"/>
      <c r="AC253" s="63"/>
      <c r="AD253" s="64"/>
    </row>
    <row r="254" spans="28:30" x14ac:dyDescent="0.55000000000000004">
      <c r="AB254" s="41"/>
      <c r="AC254" s="63"/>
      <c r="AD254" s="64"/>
    </row>
    <row r="255" spans="28:30" x14ac:dyDescent="0.55000000000000004">
      <c r="AB255" s="41"/>
      <c r="AC255" s="63"/>
      <c r="AD255" s="64"/>
    </row>
    <row r="256" spans="28:30" x14ac:dyDescent="0.55000000000000004">
      <c r="AB256" s="41"/>
      <c r="AC256" s="63"/>
      <c r="AD256" s="64"/>
    </row>
    <row r="257" spans="28:30" x14ac:dyDescent="0.55000000000000004">
      <c r="AB257" s="41"/>
      <c r="AC257" s="63"/>
      <c r="AD257" s="64"/>
    </row>
    <row r="258" spans="28:30" x14ac:dyDescent="0.55000000000000004">
      <c r="AB258" s="41"/>
      <c r="AC258" s="63"/>
      <c r="AD258" s="64"/>
    </row>
    <row r="259" spans="28:30" x14ac:dyDescent="0.55000000000000004">
      <c r="AB259" s="41"/>
      <c r="AC259" s="63"/>
      <c r="AD259" s="64"/>
    </row>
    <row r="260" spans="28:30" x14ac:dyDescent="0.55000000000000004">
      <c r="AB260" s="41"/>
      <c r="AC260" s="63"/>
      <c r="AD260" s="64"/>
    </row>
    <row r="261" spans="28:30" x14ac:dyDescent="0.55000000000000004">
      <c r="AB261" s="41"/>
      <c r="AC261" s="63"/>
      <c r="AD261" s="64"/>
    </row>
    <row r="262" spans="28:30" x14ac:dyDescent="0.55000000000000004">
      <c r="AB262" s="41"/>
      <c r="AC262" s="63"/>
      <c r="AD262" s="64"/>
    </row>
    <row r="263" spans="28:30" x14ac:dyDescent="0.55000000000000004">
      <c r="AB263" s="41"/>
      <c r="AC263" s="63"/>
      <c r="AD263" s="64"/>
    </row>
    <row r="264" spans="28:30" x14ac:dyDescent="0.55000000000000004">
      <c r="AB264" s="41"/>
      <c r="AC264" s="63"/>
      <c r="AD264" s="64"/>
    </row>
    <row r="265" spans="28:30" x14ac:dyDescent="0.55000000000000004">
      <c r="AB265" s="41"/>
      <c r="AC265" s="63"/>
      <c r="AD265" s="64"/>
    </row>
    <row r="266" spans="28:30" x14ac:dyDescent="0.55000000000000004">
      <c r="AB266" s="41"/>
      <c r="AC266" s="63"/>
      <c r="AD266" s="64"/>
    </row>
    <row r="267" spans="28:30" x14ac:dyDescent="0.55000000000000004">
      <c r="AB267" s="41"/>
      <c r="AC267" s="63"/>
      <c r="AD267" s="64"/>
    </row>
    <row r="268" spans="28:30" x14ac:dyDescent="0.55000000000000004">
      <c r="AB268" s="41"/>
      <c r="AC268" s="63"/>
      <c r="AD268" s="64"/>
    </row>
    <row r="269" spans="28:30" x14ac:dyDescent="0.55000000000000004">
      <c r="AB269" s="41"/>
      <c r="AC269" s="63"/>
      <c r="AD269" s="64"/>
    </row>
    <row r="270" spans="28:30" x14ac:dyDescent="0.55000000000000004">
      <c r="AB270" s="41"/>
      <c r="AC270" s="63"/>
      <c r="AD270" s="64"/>
    </row>
    <row r="271" spans="28:30" x14ac:dyDescent="0.55000000000000004">
      <c r="AB271" s="41"/>
      <c r="AC271" s="63"/>
      <c r="AD271" s="64"/>
    </row>
    <row r="272" spans="28:30" x14ac:dyDescent="0.55000000000000004">
      <c r="AB272" s="41"/>
      <c r="AC272" s="63"/>
      <c r="AD272" s="64"/>
    </row>
    <row r="273" spans="28:30" x14ac:dyDescent="0.55000000000000004">
      <c r="AB273" s="41"/>
      <c r="AC273" s="63"/>
      <c r="AD273" s="64"/>
    </row>
    <row r="274" spans="28:30" x14ac:dyDescent="0.55000000000000004">
      <c r="AB274" s="41"/>
      <c r="AC274" s="63"/>
      <c r="AD274" s="64"/>
    </row>
    <row r="275" spans="28:30" x14ac:dyDescent="0.55000000000000004">
      <c r="AB275" s="41"/>
      <c r="AC275" s="63"/>
      <c r="AD275" s="64"/>
    </row>
    <row r="276" spans="28:30" x14ac:dyDescent="0.55000000000000004">
      <c r="AB276" s="41"/>
      <c r="AC276" s="63"/>
      <c r="AD276" s="64"/>
    </row>
    <row r="277" spans="28:30" x14ac:dyDescent="0.55000000000000004">
      <c r="AB277" s="41"/>
      <c r="AC277" s="63"/>
      <c r="AD277" s="64"/>
    </row>
    <row r="278" spans="28:30" x14ac:dyDescent="0.55000000000000004">
      <c r="AB278" s="41"/>
      <c r="AC278" s="63"/>
      <c r="AD278" s="64"/>
    </row>
    <row r="279" spans="28:30" x14ac:dyDescent="0.55000000000000004">
      <c r="AB279" s="41"/>
      <c r="AC279" s="63"/>
      <c r="AD279" s="64"/>
    </row>
    <row r="280" spans="28:30" x14ac:dyDescent="0.55000000000000004">
      <c r="AB280" s="41"/>
      <c r="AC280" s="63"/>
      <c r="AD280" s="64"/>
    </row>
    <row r="281" spans="28:30" x14ac:dyDescent="0.55000000000000004">
      <c r="AB281" s="41"/>
      <c r="AC281" s="63"/>
      <c r="AD281" s="64"/>
    </row>
    <row r="282" spans="28:30" x14ac:dyDescent="0.55000000000000004">
      <c r="AB282" s="41"/>
      <c r="AC282" s="63"/>
      <c r="AD282" s="64"/>
    </row>
    <row r="283" spans="28:30" x14ac:dyDescent="0.55000000000000004">
      <c r="AB283" s="41"/>
      <c r="AC283" s="63"/>
      <c r="AD283" s="64"/>
    </row>
    <row r="284" spans="28:30" x14ac:dyDescent="0.55000000000000004">
      <c r="AB284" s="41"/>
      <c r="AC284" s="63"/>
      <c r="AD284" s="64"/>
    </row>
    <row r="285" spans="28:30" x14ac:dyDescent="0.55000000000000004">
      <c r="AB285" s="41"/>
      <c r="AC285" s="63"/>
      <c r="AD285" s="64"/>
    </row>
    <row r="286" spans="28:30" x14ac:dyDescent="0.55000000000000004">
      <c r="AB286" s="41"/>
      <c r="AC286" s="63"/>
      <c r="AD286" s="64"/>
    </row>
    <row r="287" spans="28:30" x14ac:dyDescent="0.55000000000000004">
      <c r="AB287" s="41"/>
      <c r="AC287" s="63"/>
      <c r="AD287" s="64"/>
    </row>
    <row r="288" spans="28:30" x14ac:dyDescent="0.55000000000000004">
      <c r="AB288" s="41"/>
      <c r="AC288" s="63"/>
      <c r="AD288" s="64"/>
    </row>
    <row r="289" spans="28:30" x14ac:dyDescent="0.55000000000000004">
      <c r="AB289" s="41"/>
      <c r="AC289" s="63"/>
      <c r="AD289" s="64"/>
    </row>
    <row r="290" spans="28:30" x14ac:dyDescent="0.55000000000000004">
      <c r="AB290" s="41"/>
      <c r="AC290" s="63"/>
      <c r="AD290" s="64"/>
    </row>
    <row r="291" spans="28:30" x14ac:dyDescent="0.55000000000000004">
      <c r="AB291" s="41"/>
      <c r="AC291" s="63"/>
      <c r="AD291" s="64"/>
    </row>
    <row r="292" spans="28:30" x14ac:dyDescent="0.55000000000000004">
      <c r="AB292" s="41"/>
      <c r="AC292" s="63"/>
      <c r="AD292" s="64"/>
    </row>
    <row r="293" spans="28:30" x14ac:dyDescent="0.55000000000000004">
      <c r="AB293" s="41"/>
      <c r="AC293" s="63"/>
      <c r="AD293" s="64"/>
    </row>
    <row r="294" spans="28:30" x14ac:dyDescent="0.55000000000000004">
      <c r="AB294" s="41"/>
      <c r="AC294" s="63"/>
      <c r="AD294" s="64"/>
    </row>
    <row r="295" spans="28:30" x14ac:dyDescent="0.55000000000000004">
      <c r="AB295" s="41"/>
      <c r="AC295" s="63"/>
      <c r="AD295" s="64"/>
    </row>
    <row r="296" spans="28:30" x14ac:dyDescent="0.55000000000000004">
      <c r="AB296" s="41"/>
      <c r="AC296" s="63"/>
      <c r="AD296" s="64"/>
    </row>
    <row r="297" spans="28:30" x14ac:dyDescent="0.55000000000000004">
      <c r="AB297" s="41"/>
      <c r="AC297" s="63"/>
      <c r="AD297" s="64"/>
    </row>
    <row r="298" spans="28:30" x14ac:dyDescent="0.55000000000000004">
      <c r="AB298" s="41"/>
      <c r="AC298" s="63"/>
      <c r="AD298" s="64"/>
    </row>
    <row r="299" spans="28:30" x14ac:dyDescent="0.55000000000000004">
      <c r="AB299" s="41"/>
      <c r="AC299" s="63"/>
      <c r="AD299" s="64"/>
    </row>
    <row r="300" spans="28:30" x14ac:dyDescent="0.55000000000000004">
      <c r="AB300" s="41"/>
      <c r="AC300" s="63"/>
      <c r="AD300" s="64"/>
    </row>
    <row r="301" spans="28:30" x14ac:dyDescent="0.55000000000000004">
      <c r="AB301" s="41"/>
      <c r="AC301" s="63"/>
      <c r="AD301" s="64"/>
    </row>
    <row r="302" spans="28:30" x14ac:dyDescent="0.55000000000000004">
      <c r="AB302" s="41"/>
      <c r="AC302" s="63"/>
      <c r="AD302" s="64"/>
    </row>
    <row r="303" spans="28:30" x14ac:dyDescent="0.55000000000000004">
      <c r="AB303" s="41"/>
      <c r="AC303" s="63"/>
      <c r="AD303" s="64"/>
    </row>
    <row r="304" spans="28:30" x14ac:dyDescent="0.55000000000000004">
      <c r="AB304" s="41"/>
      <c r="AC304" s="63"/>
      <c r="AD304" s="64"/>
    </row>
    <row r="305" spans="28:30" x14ac:dyDescent="0.55000000000000004">
      <c r="AB305" s="41"/>
      <c r="AC305" s="63"/>
      <c r="AD305" s="64"/>
    </row>
    <row r="306" spans="28:30" x14ac:dyDescent="0.55000000000000004">
      <c r="AB306" s="41"/>
      <c r="AC306" s="63"/>
      <c r="AD306" s="64"/>
    </row>
    <row r="307" spans="28:30" x14ac:dyDescent="0.55000000000000004">
      <c r="AB307" s="41"/>
      <c r="AC307" s="63"/>
      <c r="AD307" s="64"/>
    </row>
    <row r="308" spans="28:30" x14ac:dyDescent="0.55000000000000004">
      <c r="AB308" s="41"/>
      <c r="AC308" s="63"/>
      <c r="AD308" s="64"/>
    </row>
    <row r="309" spans="28:30" x14ac:dyDescent="0.55000000000000004">
      <c r="AB309" s="41"/>
      <c r="AC309" s="63"/>
      <c r="AD309" s="64"/>
    </row>
    <row r="310" spans="28:30" x14ac:dyDescent="0.55000000000000004">
      <c r="AB310" s="41"/>
      <c r="AC310" s="63"/>
      <c r="AD310" s="64"/>
    </row>
    <row r="311" spans="28:30" x14ac:dyDescent="0.55000000000000004">
      <c r="AB311" s="41"/>
      <c r="AC311" s="63"/>
      <c r="AD311" s="64"/>
    </row>
    <row r="312" spans="28:30" x14ac:dyDescent="0.55000000000000004">
      <c r="AB312" s="41"/>
      <c r="AC312" s="63"/>
      <c r="AD312" s="64"/>
    </row>
    <row r="313" spans="28:30" x14ac:dyDescent="0.55000000000000004">
      <c r="AB313" s="41"/>
      <c r="AC313" s="63"/>
      <c r="AD313" s="64"/>
    </row>
    <row r="314" spans="28:30" x14ac:dyDescent="0.55000000000000004">
      <c r="AB314" s="41"/>
      <c r="AC314" s="63"/>
      <c r="AD314" s="64"/>
    </row>
    <row r="315" spans="28:30" x14ac:dyDescent="0.55000000000000004">
      <c r="AB315" s="41"/>
      <c r="AC315" s="63"/>
      <c r="AD315" s="64"/>
    </row>
    <row r="316" spans="28:30" x14ac:dyDescent="0.55000000000000004">
      <c r="AB316" s="41"/>
      <c r="AC316" s="63"/>
      <c r="AD316" s="64"/>
    </row>
    <row r="317" spans="28:30" x14ac:dyDescent="0.55000000000000004">
      <c r="AB317" s="41"/>
      <c r="AC317" s="63"/>
      <c r="AD317" s="64"/>
    </row>
    <row r="318" spans="28:30" x14ac:dyDescent="0.55000000000000004">
      <c r="AB318" s="41"/>
      <c r="AC318" s="63"/>
      <c r="AD318" s="64"/>
    </row>
    <row r="319" spans="28:30" x14ac:dyDescent="0.55000000000000004">
      <c r="AB319" s="41"/>
      <c r="AC319" s="63"/>
      <c r="AD319" s="64"/>
    </row>
    <row r="320" spans="28:30" x14ac:dyDescent="0.55000000000000004">
      <c r="AB320" s="41"/>
      <c r="AC320" s="63"/>
      <c r="AD320" s="64"/>
    </row>
    <row r="321" spans="28:30" x14ac:dyDescent="0.55000000000000004">
      <c r="AB321" s="41"/>
      <c r="AC321" s="63"/>
      <c r="AD321" s="64"/>
    </row>
    <row r="322" spans="28:30" x14ac:dyDescent="0.55000000000000004">
      <c r="AB322" s="41"/>
      <c r="AC322" s="63"/>
      <c r="AD322" s="64"/>
    </row>
    <row r="323" spans="28:30" x14ac:dyDescent="0.55000000000000004">
      <c r="AB323" s="41"/>
      <c r="AC323" s="63"/>
      <c r="AD323" s="64"/>
    </row>
    <row r="324" spans="28:30" x14ac:dyDescent="0.55000000000000004">
      <c r="AB324" s="41"/>
      <c r="AC324" s="63"/>
      <c r="AD324" s="64"/>
    </row>
    <row r="325" spans="28:30" x14ac:dyDescent="0.55000000000000004">
      <c r="AB325" s="41"/>
      <c r="AC325" s="63"/>
      <c r="AD325" s="64"/>
    </row>
    <row r="326" spans="28:30" x14ac:dyDescent="0.55000000000000004">
      <c r="AB326" s="41"/>
      <c r="AC326" s="63"/>
      <c r="AD326" s="64"/>
    </row>
    <row r="327" spans="28:30" x14ac:dyDescent="0.55000000000000004">
      <c r="AB327" s="41"/>
      <c r="AC327" s="63"/>
      <c r="AD327" s="64"/>
    </row>
    <row r="328" spans="28:30" x14ac:dyDescent="0.55000000000000004">
      <c r="AB328" s="41"/>
      <c r="AC328" s="63"/>
      <c r="AD328" s="64"/>
    </row>
    <row r="329" spans="28:30" x14ac:dyDescent="0.55000000000000004">
      <c r="AB329" s="41"/>
      <c r="AC329" s="63"/>
      <c r="AD329" s="64"/>
    </row>
    <row r="330" spans="28:30" x14ac:dyDescent="0.55000000000000004">
      <c r="AB330" s="41"/>
      <c r="AC330" s="63"/>
      <c r="AD330" s="64"/>
    </row>
    <row r="331" spans="28:30" x14ac:dyDescent="0.55000000000000004">
      <c r="AB331" s="41"/>
      <c r="AC331" s="63"/>
      <c r="AD331" s="64"/>
    </row>
    <row r="332" spans="28:30" x14ac:dyDescent="0.55000000000000004">
      <c r="AB332" s="41"/>
      <c r="AC332" s="63"/>
      <c r="AD332" s="64"/>
    </row>
    <row r="333" spans="28:30" x14ac:dyDescent="0.55000000000000004">
      <c r="AB333" s="41"/>
      <c r="AC333" s="63"/>
      <c r="AD333" s="64"/>
    </row>
    <row r="334" spans="28:30" x14ac:dyDescent="0.55000000000000004">
      <c r="AB334" s="41"/>
      <c r="AC334" s="63"/>
      <c r="AD334" s="64"/>
    </row>
    <row r="335" spans="28:30" x14ac:dyDescent="0.55000000000000004">
      <c r="AB335" s="41"/>
      <c r="AC335" s="63"/>
      <c r="AD335" s="64"/>
    </row>
    <row r="336" spans="28:30" x14ac:dyDescent="0.55000000000000004">
      <c r="AB336" s="41"/>
      <c r="AC336" s="63"/>
      <c r="AD336" s="64"/>
    </row>
    <row r="337" spans="28:30" x14ac:dyDescent="0.55000000000000004">
      <c r="AB337" s="41"/>
      <c r="AC337" s="63"/>
      <c r="AD337" s="64"/>
    </row>
    <row r="338" spans="28:30" x14ac:dyDescent="0.55000000000000004">
      <c r="AB338" s="41"/>
      <c r="AC338" s="63"/>
      <c r="AD338" s="64"/>
    </row>
    <row r="339" spans="28:30" x14ac:dyDescent="0.55000000000000004">
      <c r="AB339" s="41"/>
      <c r="AC339" s="63"/>
      <c r="AD339" s="64"/>
    </row>
    <row r="340" spans="28:30" x14ac:dyDescent="0.55000000000000004">
      <c r="AB340" s="41"/>
      <c r="AC340" s="63"/>
      <c r="AD340" s="64"/>
    </row>
    <row r="341" spans="28:30" x14ac:dyDescent="0.55000000000000004">
      <c r="AB341" s="41"/>
      <c r="AC341" s="63"/>
      <c r="AD341" s="64"/>
    </row>
    <row r="342" spans="28:30" x14ac:dyDescent="0.55000000000000004">
      <c r="AB342" s="41"/>
      <c r="AC342" s="63"/>
      <c r="AD342" s="64"/>
    </row>
    <row r="343" spans="28:30" x14ac:dyDescent="0.55000000000000004">
      <c r="AB343" s="41"/>
      <c r="AC343" s="63"/>
      <c r="AD343" s="64"/>
    </row>
    <row r="344" spans="28:30" x14ac:dyDescent="0.55000000000000004">
      <c r="AB344" s="41"/>
      <c r="AC344" s="63"/>
      <c r="AD344" s="64"/>
    </row>
    <row r="345" spans="28:30" x14ac:dyDescent="0.55000000000000004">
      <c r="AB345" s="41"/>
      <c r="AC345" s="63"/>
      <c r="AD345" s="64"/>
    </row>
    <row r="346" spans="28:30" x14ac:dyDescent="0.55000000000000004">
      <c r="AB346" s="41"/>
      <c r="AC346" s="63"/>
      <c r="AD346" s="64"/>
    </row>
    <row r="347" spans="28:30" x14ac:dyDescent="0.55000000000000004">
      <c r="AB347" s="41"/>
      <c r="AC347" s="63"/>
      <c r="AD347" s="64"/>
    </row>
    <row r="348" spans="28:30" x14ac:dyDescent="0.55000000000000004">
      <c r="AB348" s="41"/>
      <c r="AC348" s="63"/>
      <c r="AD348" s="64"/>
    </row>
    <row r="349" spans="28:30" x14ac:dyDescent="0.55000000000000004">
      <c r="AB349" s="41"/>
      <c r="AC349" s="63"/>
      <c r="AD349" s="64"/>
    </row>
    <row r="350" spans="28:30" x14ac:dyDescent="0.55000000000000004">
      <c r="AB350" s="41"/>
      <c r="AC350" s="63"/>
      <c r="AD350" s="64"/>
    </row>
    <row r="351" spans="28:30" x14ac:dyDescent="0.55000000000000004">
      <c r="AB351" s="41"/>
      <c r="AC351" s="63"/>
      <c r="AD351" s="64"/>
    </row>
    <row r="352" spans="28:30" x14ac:dyDescent="0.55000000000000004">
      <c r="AB352" s="41"/>
      <c r="AC352" s="63"/>
      <c r="AD352" s="64"/>
    </row>
    <row r="353" spans="28:30" x14ac:dyDescent="0.55000000000000004">
      <c r="AB353" s="41"/>
      <c r="AC353" s="63"/>
      <c r="AD353" s="64"/>
    </row>
    <row r="354" spans="28:30" x14ac:dyDescent="0.55000000000000004">
      <c r="AB354" s="41"/>
      <c r="AC354" s="63"/>
      <c r="AD354" s="64"/>
    </row>
    <row r="355" spans="28:30" x14ac:dyDescent="0.55000000000000004">
      <c r="AB355" s="41"/>
      <c r="AC355" s="63"/>
      <c r="AD355" s="64"/>
    </row>
    <row r="356" spans="28:30" x14ac:dyDescent="0.55000000000000004">
      <c r="AB356" s="41"/>
      <c r="AC356" s="63"/>
      <c r="AD356" s="64"/>
    </row>
    <row r="357" spans="28:30" x14ac:dyDescent="0.55000000000000004">
      <c r="AB357" s="41"/>
      <c r="AC357" s="63"/>
      <c r="AD357" s="64"/>
    </row>
    <row r="358" spans="28:30" x14ac:dyDescent="0.55000000000000004">
      <c r="AB358" s="41"/>
      <c r="AC358" s="63"/>
      <c r="AD358" s="64"/>
    </row>
    <row r="359" spans="28:30" x14ac:dyDescent="0.55000000000000004">
      <c r="AB359" s="41"/>
      <c r="AC359" s="63"/>
      <c r="AD359" s="64"/>
    </row>
    <row r="360" spans="28:30" x14ac:dyDescent="0.55000000000000004">
      <c r="AB360" s="41"/>
      <c r="AC360" s="63"/>
      <c r="AD360" s="64"/>
    </row>
    <row r="361" spans="28:30" x14ac:dyDescent="0.55000000000000004">
      <c r="AB361" s="41"/>
      <c r="AC361" s="63"/>
      <c r="AD361" s="64"/>
    </row>
    <row r="362" spans="28:30" x14ac:dyDescent="0.55000000000000004">
      <c r="AB362" s="41"/>
      <c r="AC362" s="63"/>
      <c r="AD362" s="64"/>
    </row>
    <row r="363" spans="28:30" x14ac:dyDescent="0.55000000000000004">
      <c r="AB363" s="41"/>
      <c r="AC363" s="63"/>
      <c r="AD363" s="64"/>
    </row>
    <row r="364" spans="28:30" x14ac:dyDescent="0.55000000000000004">
      <c r="AB364" s="41"/>
      <c r="AC364" s="63"/>
      <c r="AD364" s="64"/>
    </row>
    <row r="365" spans="28:30" x14ac:dyDescent="0.55000000000000004">
      <c r="AB365" s="41"/>
      <c r="AC365" s="63"/>
      <c r="AD365" s="64"/>
    </row>
    <row r="366" spans="28:30" x14ac:dyDescent="0.55000000000000004">
      <c r="AB366" s="41"/>
      <c r="AC366" s="63"/>
      <c r="AD366" s="64"/>
    </row>
    <row r="367" spans="28:30" x14ac:dyDescent="0.55000000000000004">
      <c r="AB367" s="41"/>
      <c r="AC367" s="63"/>
      <c r="AD367" s="64"/>
    </row>
    <row r="368" spans="28:30" x14ac:dyDescent="0.55000000000000004">
      <c r="AB368" s="41"/>
      <c r="AC368" s="63"/>
      <c r="AD368" s="64"/>
    </row>
    <row r="369" spans="28:30" x14ac:dyDescent="0.55000000000000004">
      <c r="AB369" s="41"/>
      <c r="AC369" s="63"/>
      <c r="AD369" s="64"/>
    </row>
    <row r="370" spans="28:30" x14ac:dyDescent="0.55000000000000004">
      <c r="AB370" s="41"/>
      <c r="AC370" s="63"/>
      <c r="AD370" s="64"/>
    </row>
    <row r="371" spans="28:30" x14ac:dyDescent="0.55000000000000004">
      <c r="AB371" s="41"/>
      <c r="AC371" s="63"/>
      <c r="AD371" s="64"/>
    </row>
    <row r="372" spans="28:30" x14ac:dyDescent="0.55000000000000004">
      <c r="AB372" s="41"/>
      <c r="AC372" s="63"/>
      <c r="AD372" s="64"/>
    </row>
    <row r="373" spans="28:30" x14ac:dyDescent="0.55000000000000004">
      <c r="AB373" s="41"/>
      <c r="AC373" s="63"/>
      <c r="AD373" s="64"/>
    </row>
    <row r="374" spans="28:30" x14ac:dyDescent="0.55000000000000004">
      <c r="AB374" s="41"/>
      <c r="AC374" s="63"/>
      <c r="AD374" s="64"/>
    </row>
    <row r="375" spans="28:30" x14ac:dyDescent="0.55000000000000004">
      <c r="AB375" s="41"/>
      <c r="AC375" s="63"/>
      <c r="AD375" s="64"/>
    </row>
    <row r="376" spans="28:30" x14ac:dyDescent="0.55000000000000004">
      <c r="AB376" s="41"/>
      <c r="AC376" s="63"/>
      <c r="AD376" s="64"/>
    </row>
    <row r="377" spans="28:30" x14ac:dyDescent="0.55000000000000004">
      <c r="AB377" s="41"/>
      <c r="AC377" s="63"/>
      <c r="AD377" s="64"/>
    </row>
    <row r="378" spans="28:30" x14ac:dyDescent="0.55000000000000004">
      <c r="AB378" s="41"/>
      <c r="AC378" s="63"/>
      <c r="AD378" s="64"/>
    </row>
    <row r="379" spans="28:30" x14ac:dyDescent="0.55000000000000004">
      <c r="AB379" s="41"/>
      <c r="AC379" s="63"/>
      <c r="AD379" s="64"/>
    </row>
    <row r="380" spans="28:30" x14ac:dyDescent="0.55000000000000004">
      <c r="AB380" s="41"/>
      <c r="AC380" s="63"/>
      <c r="AD380" s="64"/>
    </row>
    <row r="381" spans="28:30" x14ac:dyDescent="0.55000000000000004">
      <c r="AB381" s="41"/>
      <c r="AC381" s="63"/>
      <c r="AD381" s="64"/>
    </row>
    <row r="382" spans="28:30" x14ac:dyDescent="0.55000000000000004">
      <c r="AB382" s="41"/>
      <c r="AC382" s="63"/>
      <c r="AD382" s="64"/>
    </row>
    <row r="383" spans="28:30" x14ac:dyDescent="0.55000000000000004">
      <c r="AB383" s="41"/>
      <c r="AC383" s="63"/>
      <c r="AD383" s="64"/>
    </row>
    <row r="384" spans="28:30" x14ac:dyDescent="0.55000000000000004">
      <c r="AB384" s="41"/>
      <c r="AC384" s="63"/>
      <c r="AD384" s="64"/>
    </row>
    <row r="385" spans="28:30" x14ac:dyDescent="0.55000000000000004">
      <c r="AB385" s="41"/>
      <c r="AC385" s="63"/>
      <c r="AD385" s="64"/>
    </row>
    <row r="386" spans="28:30" x14ac:dyDescent="0.55000000000000004">
      <c r="AB386" s="41"/>
      <c r="AC386" s="63"/>
      <c r="AD386" s="64"/>
    </row>
    <row r="387" spans="28:30" x14ac:dyDescent="0.55000000000000004">
      <c r="AB387" s="41"/>
      <c r="AC387" s="63"/>
      <c r="AD387" s="64"/>
    </row>
    <row r="388" spans="28:30" x14ac:dyDescent="0.55000000000000004">
      <c r="AB388" s="41"/>
      <c r="AC388" s="63"/>
      <c r="AD388" s="64"/>
    </row>
    <row r="389" spans="28:30" x14ac:dyDescent="0.55000000000000004">
      <c r="AB389" s="41"/>
      <c r="AC389" s="63"/>
      <c r="AD389" s="64"/>
    </row>
    <row r="390" spans="28:30" x14ac:dyDescent="0.55000000000000004">
      <c r="AB390" s="41"/>
      <c r="AC390" s="63"/>
      <c r="AD390" s="64"/>
    </row>
    <row r="391" spans="28:30" x14ac:dyDescent="0.55000000000000004">
      <c r="AB391" s="41"/>
      <c r="AC391" s="63"/>
      <c r="AD391" s="64"/>
    </row>
    <row r="392" spans="28:30" x14ac:dyDescent="0.55000000000000004">
      <c r="AB392" s="41"/>
      <c r="AC392" s="63"/>
      <c r="AD392" s="64"/>
    </row>
    <row r="393" spans="28:30" x14ac:dyDescent="0.55000000000000004">
      <c r="AB393" s="41"/>
      <c r="AC393" s="63"/>
      <c r="AD393" s="64"/>
    </row>
    <row r="394" spans="28:30" x14ac:dyDescent="0.55000000000000004">
      <c r="AB394" s="41"/>
      <c r="AC394" s="63"/>
      <c r="AD394" s="64"/>
    </row>
    <row r="395" spans="28:30" x14ac:dyDescent="0.55000000000000004">
      <c r="AB395" s="41"/>
      <c r="AC395" s="63"/>
      <c r="AD395" s="64"/>
    </row>
    <row r="396" spans="28:30" x14ac:dyDescent="0.55000000000000004">
      <c r="AB396" s="41"/>
      <c r="AC396" s="63"/>
      <c r="AD396" s="64"/>
    </row>
    <row r="397" spans="28:30" x14ac:dyDescent="0.55000000000000004">
      <c r="AB397" s="41"/>
      <c r="AC397" s="63"/>
      <c r="AD397" s="64"/>
    </row>
    <row r="398" spans="28:30" x14ac:dyDescent="0.55000000000000004">
      <c r="AB398" s="41"/>
      <c r="AC398" s="63"/>
      <c r="AD398" s="64"/>
    </row>
    <row r="399" spans="28:30" x14ac:dyDescent="0.55000000000000004">
      <c r="AB399" s="41"/>
      <c r="AC399" s="63"/>
      <c r="AD399" s="64"/>
    </row>
    <row r="400" spans="28:30" x14ac:dyDescent="0.55000000000000004">
      <c r="AB400" s="41"/>
      <c r="AC400" s="63"/>
      <c r="AD400" s="64"/>
    </row>
    <row r="401" spans="28:30" x14ac:dyDescent="0.55000000000000004">
      <c r="AB401" s="41"/>
      <c r="AC401" s="63"/>
      <c r="AD401" s="64"/>
    </row>
    <row r="402" spans="28:30" x14ac:dyDescent="0.55000000000000004">
      <c r="AB402" s="41"/>
      <c r="AC402" s="63"/>
      <c r="AD402" s="64"/>
    </row>
    <row r="403" spans="28:30" x14ac:dyDescent="0.55000000000000004">
      <c r="AB403" s="41"/>
      <c r="AC403" s="63"/>
      <c r="AD403" s="64"/>
    </row>
    <row r="404" spans="28:30" x14ac:dyDescent="0.55000000000000004">
      <c r="AB404" s="41"/>
      <c r="AC404" s="63"/>
      <c r="AD404" s="64"/>
    </row>
    <row r="405" spans="28:30" x14ac:dyDescent="0.55000000000000004">
      <c r="AB405" s="41"/>
      <c r="AC405" s="63"/>
      <c r="AD405" s="64"/>
    </row>
    <row r="406" spans="28:30" x14ac:dyDescent="0.55000000000000004">
      <c r="AB406" s="41"/>
      <c r="AC406" s="63"/>
      <c r="AD406" s="64"/>
    </row>
    <row r="407" spans="28:30" x14ac:dyDescent="0.55000000000000004">
      <c r="AB407" s="41"/>
      <c r="AC407" s="63"/>
      <c r="AD407" s="64"/>
    </row>
    <row r="408" spans="28:30" x14ac:dyDescent="0.55000000000000004">
      <c r="AB408" s="41"/>
      <c r="AC408" s="63"/>
      <c r="AD408" s="64"/>
    </row>
    <row r="409" spans="28:30" x14ac:dyDescent="0.55000000000000004">
      <c r="AB409" s="41"/>
      <c r="AC409" s="63"/>
      <c r="AD409" s="64"/>
    </row>
    <row r="410" spans="28:30" x14ac:dyDescent="0.55000000000000004">
      <c r="AB410" s="41"/>
      <c r="AC410" s="63"/>
      <c r="AD410" s="64"/>
    </row>
    <row r="411" spans="28:30" x14ac:dyDescent="0.55000000000000004">
      <c r="AB411" s="41"/>
      <c r="AC411" s="63"/>
      <c r="AD411" s="64"/>
    </row>
    <row r="412" spans="28:30" x14ac:dyDescent="0.55000000000000004">
      <c r="AB412" s="41"/>
      <c r="AC412" s="63"/>
      <c r="AD412" s="64"/>
    </row>
    <row r="413" spans="28:30" x14ac:dyDescent="0.55000000000000004">
      <c r="AB413" s="41"/>
      <c r="AC413" s="63"/>
      <c r="AD413" s="64"/>
    </row>
    <row r="414" spans="28:30" x14ac:dyDescent="0.55000000000000004">
      <c r="AB414" s="41"/>
      <c r="AC414" s="63"/>
      <c r="AD414" s="64"/>
    </row>
    <row r="415" spans="28:30" x14ac:dyDescent="0.55000000000000004">
      <c r="AB415" s="41"/>
      <c r="AC415" s="63"/>
      <c r="AD415" s="64"/>
    </row>
    <row r="416" spans="28:30" x14ac:dyDescent="0.55000000000000004">
      <c r="AB416" s="41"/>
      <c r="AC416" s="63"/>
      <c r="AD416" s="64"/>
    </row>
    <row r="417" spans="28:30" x14ac:dyDescent="0.55000000000000004">
      <c r="AB417" s="41"/>
      <c r="AC417" s="63"/>
      <c r="AD417" s="64"/>
    </row>
    <row r="418" spans="28:30" x14ac:dyDescent="0.55000000000000004">
      <c r="AB418" s="41"/>
      <c r="AC418" s="63"/>
      <c r="AD418" s="64"/>
    </row>
    <row r="419" spans="28:30" x14ac:dyDescent="0.55000000000000004">
      <c r="AB419" s="41"/>
      <c r="AC419" s="63"/>
      <c r="AD419" s="64"/>
    </row>
    <row r="420" spans="28:30" x14ac:dyDescent="0.55000000000000004">
      <c r="AB420" s="41"/>
      <c r="AC420" s="63"/>
      <c r="AD420" s="64"/>
    </row>
    <row r="421" spans="28:30" x14ac:dyDescent="0.55000000000000004">
      <c r="AB421" s="41"/>
      <c r="AC421" s="63"/>
      <c r="AD421" s="64"/>
    </row>
    <row r="422" spans="28:30" x14ac:dyDescent="0.55000000000000004">
      <c r="AB422" s="41"/>
      <c r="AC422" s="63"/>
      <c r="AD422" s="64"/>
    </row>
    <row r="423" spans="28:30" x14ac:dyDescent="0.55000000000000004">
      <c r="AB423" s="41"/>
      <c r="AC423" s="63"/>
      <c r="AD423" s="64"/>
    </row>
    <row r="424" spans="28:30" x14ac:dyDescent="0.55000000000000004">
      <c r="AB424" s="41"/>
      <c r="AC424" s="63"/>
      <c r="AD424" s="64"/>
    </row>
    <row r="425" spans="28:30" x14ac:dyDescent="0.55000000000000004">
      <c r="AB425" s="41"/>
      <c r="AC425" s="63"/>
      <c r="AD425" s="64"/>
    </row>
    <row r="426" spans="28:30" x14ac:dyDescent="0.55000000000000004">
      <c r="AB426" s="41"/>
      <c r="AC426" s="63"/>
      <c r="AD426" s="64"/>
    </row>
    <row r="427" spans="28:30" x14ac:dyDescent="0.55000000000000004">
      <c r="AB427" s="41"/>
      <c r="AC427" s="63"/>
      <c r="AD427" s="64"/>
    </row>
    <row r="428" spans="28:30" x14ac:dyDescent="0.55000000000000004">
      <c r="AB428" s="41"/>
      <c r="AC428" s="63"/>
      <c r="AD428" s="64"/>
    </row>
    <row r="429" spans="28:30" x14ac:dyDescent="0.55000000000000004">
      <c r="AB429" s="41"/>
      <c r="AC429" s="63"/>
      <c r="AD429" s="64"/>
    </row>
    <row r="430" spans="28:30" x14ac:dyDescent="0.55000000000000004">
      <c r="AB430" s="41"/>
      <c r="AC430" s="63"/>
      <c r="AD430" s="64"/>
    </row>
    <row r="431" spans="28:30" x14ac:dyDescent="0.55000000000000004">
      <c r="AB431" s="41"/>
      <c r="AC431" s="63"/>
      <c r="AD431" s="64"/>
    </row>
    <row r="432" spans="28:30" x14ac:dyDescent="0.55000000000000004">
      <c r="AB432" s="41"/>
      <c r="AC432" s="63"/>
      <c r="AD432" s="64"/>
    </row>
    <row r="433" spans="28:30" x14ac:dyDescent="0.55000000000000004">
      <c r="AB433" s="41"/>
      <c r="AC433" s="63"/>
      <c r="AD433" s="64"/>
    </row>
    <row r="434" spans="28:30" x14ac:dyDescent="0.55000000000000004">
      <c r="AB434" s="41"/>
      <c r="AC434" s="63"/>
      <c r="AD434" s="64"/>
    </row>
    <row r="435" spans="28:30" x14ac:dyDescent="0.55000000000000004">
      <c r="AB435" s="41"/>
      <c r="AC435" s="63"/>
      <c r="AD435" s="64"/>
    </row>
    <row r="436" spans="28:30" x14ac:dyDescent="0.55000000000000004">
      <c r="AB436" s="41"/>
      <c r="AC436" s="63"/>
      <c r="AD436" s="64"/>
    </row>
    <row r="437" spans="28:30" x14ac:dyDescent="0.55000000000000004">
      <c r="AB437" s="41"/>
      <c r="AC437" s="63"/>
      <c r="AD437" s="64"/>
    </row>
    <row r="438" spans="28:30" x14ac:dyDescent="0.55000000000000004">
      <c r="AB438" s="41"/>
      <c r="AC438" s="63"/>
      <c r="AD438" s="64"/>
    </row>
    <row r="439" spans="28:30" x14ac:dyDescent="0.55000000000000004">
      <c r="AB439" s="41"/>
      <c r="AC439" s="63"/>
      <c r="AD439" s="64"/>
    </row>
    <row r="440" spans="28:30" x14ac:dyDescent="0.55000000000000004">
      <c r="AB440" s="41"/>
      <c r="AC440" s="63"/>
      <c r="AD440" s="64"/>
    </row>
    <row r="441" spans="28:30" x14ac:dyDescent="0.55000000000000004">
      <c r="AB441" s="41"/>
      <c r="AC441" s="63"/>
      <c r="AD441" s="64"/>
    </row>
    <row r="442" spans="28:30" x14ac:dyDescent="0.55000000000000004">
      <c r="AB442" s="41"/>
      <c r="AC442" s="63"/>
      <c r="AD442" s="64"/>
    </row>
    <row r="443" spans="28:30" x14ac:dyDescent="0.55000000000000004">
      <c r="AB443" s="41"/>
      <c r="AC443" s="63"/>
      <c r="AD443" s="64"/>
    </row>
    <row r="444" spans="28:30" x14ac:dyDescent="0.55000000000000004">
      <c r="AB444" s="41"/>
      <c r="AC444" s="63"/>
      <c r="AD444" s="64"/>
    </row>
    <row r="445" spans="28:30" x14ac:dyDescent="0.55000000000000004">
      <c r="AB445" s="41"/>
      <c r="AC445" s="63"/>
      <c r="AD445" s="64"/>
    </row>
    <row r="446" spans="28:30" x14ac:dyDescent="0.55000000000000004">
      <c r="AB446" s="41"/>
      <c r="AC446" s="63"/>
      <c r="AD446" s="64"/>
    </row>
    <row r="447" spans="28:30" x14ac:dyDescent="0.55000000000000004">
      <c r="AB447" s="41"/>
      <c r="AC447" s="63"/>
      <c r="AD447" s="64"/>
    </row>
    <row r="448" spans="28:30" x14ac:dyDescent="0.55000000000000004">
      <c r="AB448" s="41"/>
      <c r="AC448" s="63"/>
      <c r="AD448" s="64"/>
    </row>
    <row r="449" spans="28:30" x14ac:dyDescent="0.55000000000000004">
      <c r="AB449" s="41"/>
      <c r="AC449" s="63"/>
      <c r="AD449" s="64"/>
    </row>
    <row r="450" spans="28:30" x14ac:dyDescent="0.55000000000000004">
      <c r="AB450" s="41"/>
      <c r="AC450" s="63"/>
      <c r="AD450" s="64"/>
    </row>
    <row r="451" spans="28:30" x14ac:dyDescent="0.55000000000000004">
      <c r="AB451" s="41"/>
      <c r="AC451" s="63"/>
      <c r="AD451" s="64"/>
    </row>
    <row r="452" spans="28:30" x14ac:dyDescent="0.55000000000000004">
      <c r="AB452" s="41"/>
      <c r="AC452" s="63"/>
      <c r="AD452" s="64"/>
    </row>
    <row r="453" spans="28:30" x14ac:dyDescent="0.55000000000000004">
      <c r="AB453" s="41"/>
      <c r="AC453" s="63"/>
      <c r="AD453" s="64"/>
    </row>
    <row r="454" spans="28:30" x14ac:dyDescent="0.55000000000000004">
      <c r="AB454" s="41"/>
      <c r="AC454" s="63"/>
      <c r="AD454" s="64"/>
    </row>
    <row r="455" spans="28:30" x14ac:dyDescent="0.55000000000000004">
      <c r="AB455" s="41"/>
      <c r="AC455" s="63"/>
      <c r="AD455" s="64"/>
    </row>
    <row r="456" spans="28:30" x14ac:dyDescent="0.55000000000000004">
      <c r="AB456" s="41"/>
      <c r="AC456" s="63"/>
      <c r="AD456" s="64"/>
    </row>
    <row r="457" spans="28:30" x14ac:dyDescent="0.55000000000000004">
      <c r="AB457" s="41"/>
      <c r="AC457" s="63"/>
      <c r="AD457" s="64"/>
    </row>
    <row r="458" spans="28:30" x14ac:dyDescent="0.55000000000000004">
      <c r="AB458" s="41"/>
      <c r="AC458" s="63"/>
      <c r="AD458" s="64"/>
    </row>
    <row r="459" spans="28:30" x14ac:dyDescent="0.55000000000000004">
      <c r="AB459" s="41"/>
      <c r="AC459" s="63"/>
      <c r="AD459" s="64"/>
    </row>
    <row r="460" spans="28:30" x14ac:dyDescent="0.55000000000000004">
      <c r="AB460" s="41"/>
      <c r="AC460" s="63"/>
      <c r="AD460" s="64"/>
    </row>
    <row r="461" spans="28:30" x14ac:dyDescent="0.55000000000000004">
      <c r="AB461" s="41"/>
      <c r="AC461" s="63"/>
      <c r="AD461" s="64"/>
    </row>
    <row r="462" spans="28:30" x14ac:dyDescent="0.55000000000000004">
      <c r="AB462" s="41"/>
      <c r="AC462" s="63"/>
      <c r="AD462" s="64"/>
    </row>
    <row r="463" spans="28:30" x14ac:dyDescent="0.55000000000000004">
      <c r="AB463" s="41"/>
      <c r="AC463" s="63"/>
      <c r="AD463" s="64"/>
    </row>
    <row r="464" spans="28:30" x14ac:dyDescent="0.55000000000000004">
      <c r="AB464" s="41"/>
      <c r="AC464" s="63"/>
      <c r="AD464" s="64"/>
    </row>
    <row r="465" spans="28:30" x14ac:dyDescent="0.55000000000000004">
      <c r="AB465" s="41"/>
      <c r="AC465" s="63"/>
      <c r="AD465" s="64"/>
    </row>
    <row r="466" spans="28:30" x14ac:dyDescent="0.55000000000000004">
      <c r="AB466" s="41"/>
      <c r="AC466" s="63"/>
      <c r="AD466" s="64"/>
    </row>
    <row r="467" spans="28:30" x14ac:dyDescent="0.55000000000000004">
      <c r="AB467" s="41"/>
      <c r="AC467" s="63"/>
      <c r="AD467" s="64"/>
    </row>
    <row r="468" spans="28:30" x14ac:dyDescent="0.55000000000000004">
      <c r="AB468" s="41"/>
      <c r="AC468" s="63"/>
      <c r="AD468" s="64"/>
    </row>
    <row r="469" spans="28:30" x14ac:dyDescent="0.55000000000000004">
      <c r="AB469" s="41"/>
      <c r="AC469" s="63"/>
      <c r="AD469" s="64"/>
    </row>
    <row r="470" spans="28:30" x14ac:dyDescent="0.55000000000000004">
      <c r="AB470" s="41"/>
      <c r="AC470" s="63"/>
      <c r="AD470" s="64"/>
    </row>
    <row r="471" spans="28:30" x14ac:dyDescent="0.55000000000000004">
      <c r="AB471" s="41"/>
      <c r="AC471" s="63"/>
      <c r="AD471" s="64"/>
    </row>
    <row r="472" spans="28:30" x14ac:dyDescent="0.55000000000000004">
      <c r="AB472" s="41"/>
      <c r="AC472" s="63"/>
      <c r="AD472" s="64"/>
    </row>
    <row r="473" spans="28:30" x14ac:dyDescent="0.55000000000000004">
      <c r="AB473" s="41"/>
      <c r="AC473" s="63"/>
      <c r="AD473" s="64"/>
    </row>
    <row r="474" spans="28:30" x14ac:dyDescent="0.55000000000000004">
      <c r="AB474" s="41"/>
      <c r="AC474" s="63"/>
      <c r="AD474" s="64"/>
    </row>
    <row r="475" spans="28:30" x14ac:dyDescent="0.55000000000000004">
      <c r="AB475" s="41"/>
      <c r="AC475" s="63"/>
      <c r="AD475" s="64"/>
    </row>
    <row r="476" spans="28:30" x14ac:dyDescent="0.55000000000000004">
      <c r="AB476" s="41"/>
      <c r="AC476" s="63"/>
      <c r="AD476" s="64"/>
    </row>
    <row r="477" spans="28:30" x14ac:dyDescent="0.55000000000000004">
      <c r="AB477" s="41"/>
      <c r="AC477" s="63"/>
      <c r="AD477" s="64"/>
    </row>
    <row r="478" spans="28:30" x14ac:dyDescent="0.55000000000000004">
      <c r="AB478" s="41"/>
      <c r="AC478" s="63"/>
      <c r="AD478" s="64"/>
    </row>
    <row r="479" spans="28:30" x14ac:dyDescent="0.55000000000000004">
      <c r="AB479" s="41"/>
      <c r="AC479" s="63"/>
      <c r="AD479" s="64"/>
    </row>
    <row r="480" spans="28:30" x14ac:dyDescent="0.55000000000000004">
      <c r="AB480" s="41"/>
      <c r="AC480" s="63"/>
      <c r="AD480" s="64"/>
    </row>
    <row r="481" spans="28:30" x14ac:dyDescent="0.55000000000000004">
      <c r="AB481" s="41"/>
      <c r="AC481" s="63"/>
      <c r="AD481" s="64"/>
    </row>
    <row r="482" spans="28:30" x14ac:dyDescent="0.55000000000000004">
      <c r="AB482" s="41"/>
      <c r="AC482" s="63"/>
      <c r="AD482" s="64"/>
    </row>
    <row r="483" spans="28:30" x14ac:dyDescent="0.55000000000000004">
      <c r="AB483" s="41"/>
      <c r="AC483" s="63"/>
      <c r="AD483" s="64"/>
    </row>
    <row r="484" spans="28:30" x14ac:dyDescent="0.55000000000000004">
      <c r="AB484" s="41"/>
      <c r="AC484" s="63"/>
      <c r="AD484" s="64"/>
    </row>
    <row r="485" spans="28:30" x14ac:dyDescent="0.55000000000000004">
      <c r="AB485" s="41"/>
      <c r="AC485" s="63"/>
      <c r="AD485" s="64"/>
    </row>
    <row r="486" spans="28:30" x14ac:dyDescent="0.55000000000000004">
      <c r="AB486" s="41"/>
      <c r="AC486" s="63"/>
      <c r="AD486" s="64"/>
    </row>
    <row r="487" spans="28:30" x14ac:dyDescent="0.55000000000000004">
      <c r="AB487" s="41"/>
      <c r="AC487" s="63"/>
      <c r="AD487" s="64"/>
    </row>
    <row r="488" spans="28:30" x14ac:dyDescent="0.55000000000000004">
      <c r="AB488" s="41"/>
      <c r="AC488" s="63"/>
      <c r="AD488" s="64"/>
    </row>
    <row r="489" spans="28:30" x14ac:dyDescent="0.55000000000000004">
      <c r="AB489" s="41"/>
      <c r="AC489" s="63"/>
      <c r="AD489" s="64"/>
    </row>
    <row r="490" spans="28:30" x14ac:dyDescent="0.55000000000000004">
      <c r="AB490" s="41"/>
      <c r="AC490" s="63"/>
      <c r="AD490" s="64"/>
    </row>
    <row r="491" spans="28:30" x14ac:dyDescent="0.55000000000000004">
      <c r="AB491" s="41"/>
      <c r="AC491" s="63"/>
      <c r="AD491" s="64"/>
    </row>
    <row r="492" spans="28:30" x14ac:dyDescent="0.55000000000000004">
      <c r="AB492" s="41"/>
      <c r="AC492" s="63"/>
      <c r="AD492" s="64"/>
    </row>
    <row r="493" spans="28:30" x14ac:dyDescent="0.55000000000000004">
      <c r="AB493" s="41"/>
      <c r="AC493" s="63"/>
      <c r="AD493" s="64"/>
    </row>
    <row r="494" spans="28:30" x14ac:dyDescent="0.55000000000000004">
      <c r="AB494" s="41"/>
      <c r="AC494" s="63"/>
      <c r="AD494" s="64"/>
    </row>
    <row r="495" spans="28:30" x14ac:dyDescent="0.55000000000000004">
      <c r="AB495" s="41"/>
      <c r="AC495" s="63"/>
      <c r="AD495" s="64"/>
    </row>
    <row r="496" spans="28:30" x14ac:dyDescent="0.55000000000000004">
      <c r="AB496" s="41"/>
      <c r="AC496" s="63"/>
      <c r="AD496" s="64"/>
    </row>
    <row r="497" spans="28:30" x14ac:dyDescent="0.55000000000000004">
      <c r="AB497" s="41"/>
      <c r="AC497" s="63"/>
      <c r="AD497" s="64"/>
    </row>
    <row r="498" spans="28:30" x14ac:dyDescent="0.55000000000000004">
      <c r="AB498" s="41"/>
      <c r="AC498" s="63"/>
      <c r="AD498" s="64"/>
    </row>
    <row r="499" spans="28:30" x14ac:dyDescent="0.55000000000000004">
      <c r="AB499" s="41"/>
      <c r="AC499" s="63"/>
      <c r="AD499" s="64"/>
    </row>
    <row r="500" spans="28:30" x14ac:dyDescent="0.55000000000000004">
      <c r="AB500" s="41"/>
      <c r="AC500" s="63"/>
      <c r="AD500" s="64"/>
    </row>
    <row r="501" spans="28:30" x14ac:dyDescent="0.55000000000000004">
      <c r="AB501" s="41"/>
      <c r="AC501" s="63"/>
      <c r="AD501" s="64"/>
    </row>
    <row r="502" spans="28:30" x14ac:dyDescent="0.55000000000000004">
      <c r="AB502" s="41"/>
      <c r="AC502" s="63"/>
      <c r="AD502" s="64"/>
    </row>
    <row r="503" spans="28:30" x14ac:dyDescent="0.55000000000000004">
      <c r="AB503" s="41"/>
      <c r="AC503" s="63"/>
      <c r="AD503" s="64"/>
    </row>
    <row r="504" spans="28:30" x14ac:dyDescent="0.55000000000000004">
      <c r="AB504" s="41"/>
      <c r="AC504" s="63"/>
      <c r="AD504" s="64"/>
    </row>
    <row r="505" spans="28:30" x14ac:dyDescent="0.55000000000000004">
      <c r="AB505" s="41"/>
      <c r="AC505" s="63"/>
      <c r="AD505" s="64"/>
    </row>
    <row r="506" spans="28:30" x14ac:dyDescent="0.55000000000000004">
      <c r="AB506" s="41"/>
      <c r="AC506" s="63"/>
      <c r="AD506" s="64"/>
    </row>
    <row r="507" spans="28:30" x14ac:dyDescent="0.55000000000000004">
      <c r="AB507" s="41"/>
      <c r="AC507" s="63"/>
      <c r="AD507" s="64"/>
    </row>
    <row r="508" spans="28:30" x14ac:dyDescent="0.55000000000000004">
      <c r="AB508" s="41"/>
      <c r="AC508" s="63"/>
      <c r="AD508" s="64"/>
    </row>
    <row r="509" spans="28:30" x14ac:dyDescent="0.55000000000000004">
      <c r="AB509" s="41"/>
      <c r="AC509" s="63"/>
      <c r="AD509" s="64"/>
    </row>
    <row r="510" spans="28:30" x14ac:dyDescent="0.55000000000000004">
      <c r="AB510" s="41"/>
      <c r="AC510" s="63"/>
      <c r="AD510" s="64"/>
    </row>
    <row r="511" spans="28:30" x14ac:dyDescent="0.55000000000000004">
      <c r="AB511" s="41"/>
      <c r="AC511" s="63"/>
      <c r="AD511" s="64"/>
    </row>
    <row r="512" spans="28:30" x14ac:dyDescent="0.55000000000000004">
      <c r="AB512" s="41"/>
      <c r="AC512" s="63"/>
      <c r="AD512" s="64"/>
    </row>
    <row r="513" spans="28:30" x14ac:dyDescent="0.55000000000000004">
      <c r="AB513" s="41"/>
      <c r="AC513" s="63"/>
      <c r="AD513" s="64"/>
    </row>
    <row r="514" spans="28:30" x14ac:dyDescent="0.55000000000000004">
      <c r="AB514" s="41"/>
      <c r="AC514" s="63"/>
      <c r="AD514" s="64"/>
    </row>
    <row r="515" spans="28:30" x14ac:dyDescent="0.55000000000000004">
      <c r="AB515" s="41"/>
      <c r="AC515" s="63"/>
      <c r="AD515" s="64"/>
    </row>
    <row r="516" spans="28:30" x14ac:dyDescent="0.55000000000000004">
      <c r="AB516" s="41"/>
      <c r="AC516" s="63"/>
      <c r="AD516" s="64"/>
    </row>
    <row r="517" spans="28:30" x14ac:dyDescent="0.55000000000000004">
      <c r="AB517" s="41"/>
      <c r="AC517" s="63"/>
      <c r="AD517" s="64"/>
    </row>
    <row r="518" spans="28:30" x14ac:dyDescent="0.55000000000000004">
      <c r="AB518" s="41"/>
      <c r="AC518" s="63"/>
      <c r="AD518" s="64"/>
    </row>
    <row r="519" spans="28:30" x14ac:dyDescent="0.55000000000000004">
      <c r="AB519" s="41"/>
      <c r="AC519" s="63"/>
      <c r="AD519" s="64"/>
    </row>
    <row r="520" spans="28:30" x14ac:dyDescent="0.55000000000000004">
      <c r="AB520" s="41"/>
      <c r="AC520" s="63"/>
      <c r="AD520" s="64"/>
    </row>
    <row r="521" spans="28:30" x14ac:dyDescent="0.55000000000000004">
      <c r="AB521" s="41"/>
      <c r="AC521" s="63"/>
      <c r="AD521" s="64"/>
    </row>
    <row r="522" spans="28:30" x14ac:dyDescent="0.55000000000000004">
      <c r="AB522" s="41"/>
      <c r="AC522" s="63"/>
      <c r="AD522" s="64"/>
    </row>
    <row r="523" spans="28:30" x14ac:dyDescent="0.55000000000000004">
      <c r="AB523" s="41"/>
      <c r="AC523" s="63"/>
      <c r="AD523" s="64"/>
    </row>
    <row r="524" spans="28:30" x14ac:dyDescent="0.55000000000000004">
      <c r="AB524" s="41"/>
      <c r="AC524" s="63"/>
      <c r="AD524" s="64"/>
    </row>
    <row r="525" spans="28:30" x14ac:dyDescent="0.55000000000000004">
      <c r="AB525" s="41"/>
      <c r="AC525" s="63"/>
      <c r="AD525" s="64"/>
    </row>
    <row r="526" spans="28:30" x14ac:dyDescent="0.55000000000000004">
      <c r="AB526" s="41"/>
      <c r="AC526" s="63"/>
      <c r="AD526" s="64"/>
    </row>
    <row r="527" spans="28:30" x14ac:dyDescent="0.55000000000000004">
      <c r="AB527" s="41"/>
      <c r="AC527" s="63"/>
      <c r="AD527" s="64"/>
    </row>
    <row r="528" spans="28:30" x14ac:dyDescent="0.55000000000000004">
      <c r="AB528" s="41"/>
      <c r="AC528" s="63"/>
      <c r="AD528" s="64"/>
    </row>
    <row r="529" spans="28:30" x14ac:dyDescent="0.55000000000000004">
      <c r="AB529" s="41"/>
      <c r="AC529" s="63"/>
      <c r="AD529" s="64"/>
    </row>
    <row r="530" spans="28:30" x14ac:dyDescent="0.55000000000000004">
      <c r="AB530" s="41"/>
      <c r="AC530" s="63"/>
      <c r="AD530" s="64"/>
    </row>
    <row r="531" spans="28:30" x14ac:dyDescent="0.55000000000000004">
      <c r="AB531" s="41"/>
      <c r="AC531" s="63"/>
      <c r="AD531" s="64"/>
    </row>
    <row r="532" spans="28:30" x14ac:dyDescent="0.55000000000000004">
      <c r="AB532" s="41"/>
      <c r="AC532" s="63"/>
      <c r="AD532" s="64"/>
    </row>
    <row r="533" spans="28:30" x14ac:dyDescent="0.55000000000000004">
      <c r="AB533" s="41"/>
      <c r="AC533" s="63"/>
      <c r="AD533" s="64"/>
    </row>
    <row r="534" spans="28:30" x14ac:dyDescent="0.55000000000000004">
      <c r="AB534" s="41"/>
      <c r="AC534" s="63"/>
      <c r="AD534" s="64"/>
    </row>
    <row r="535" spans="28:30" x14ac:dyDescent="0.55000000000000004">
      <c r="AB535" s="41"/>
      <c r="AC535" s="63"/>
      <c r="AD535" s="64"/>
    </row>
    <row r="536" spans="28:30" x14ac:dyDescent="0.55000000000000004">
      <c r="AB536" s="41"/>
      <c r="AC536" s="63"/>
      <c r="AD536" s="64"/>
    </row>
    <row r="537" spans="28:30" x14ac:dyDescent="0.55000000000000004">
      <c r="AB537" s="41"/>
      <c r="AC537" s="63"/>
      <c r="AD537" s="64"/>
    </row>
    <row r="538" spans="28:30" x14ac:dyDescent="0.55000000000000004">
      <c r="AB538" s="41"/>
      <c r="AC538" s="63"/>
      <c r="AD538" s="64"/>
    </row>
    <row r="539" spans="28:30" x14ac:dyDescent="0.55000000000000004">
      <c r="AB539" s="41"/>
      <c r="AC539" s="63"/>
      <c r="AD539" s="64"/>
    </row>
    <row r="540" spans="28:30" x14ac:dyDescent="0.55000000000000004">
      <c r="AB540" s="41"/>
      <c r="AC540" s="63"/>
      <c r="AD540" s="64"/>
    </row>
    <row r="541" spans="28:30" x14ac:dyDescent="0.55000000000000004">
      <c r="AB541" s="41"/>
      <c r="AC541" s="63"/>
      <c r="AD541" s="64"/>
    </row>
    <row r="542" spans="28:30" x14ac:dyDescent="0.55000000000000004">
      <c r="AB542" s="41"/>
      <c r="AC542" s="63"/>
      <c r="AD542" s="64"/>
    </row>
    <row r="543" spans="28:30" x14ac:dyDescent="0.55000000000000004">
      <c r="AB543" s="41"/>
      <c r="AC543" s="63"/>
      <c r="AD543" s="64"/>
    </row>
    <row r="544" spans="28:30" x14ac:dyDescent="0.55000000000000004">
      <c r="AB544" s="41"/>
      <c r="AC544" s="63"/>
      <c r="AD544" s="64"/>
    </row>
    <row r="545" spans="28:30" x14ac:dyDescent="0.55000000000000004">
      <c r="AB545" s="41"/>
      <c r="AC545" s="63"/>
      <c r="AD545" s="64"/>
    </row>
    <row r="546" spans="28:30" x14ac:dyDescent="0.55000000000000004">
      <c r="AB546" s="41"/>
      <c r="AC546" s="63"/>
      <c r="AD546" s="64"/>
    </row>
    <row r="547" spans="28:30" x14ac:dyDescent="0.55000000000000004">
      <c r="AB547" s="41"/>
      <c r="AC547" s="63"/>
      <c r="AD547" s="64"/>
    </row>
    <row r="548" spans="28:30" x14ac:dyDescent="0.55000000000000004">
      <c r="AB548" s="41"/>
      <c r="AC548" s="63"/>
      <c r="AD548" s="64"/>
    </row>
    <row r="549" spans="28:30" x14ac:dyDescent="0.55000000000000004">
      <c r="AB549" s="41"/>
      <c r="AC549" s="63"/>
      <c r="AD549" s="64"/>
    </row>
    <row r="550" spans="28:30" x14ac:dyDescent="0.55000000000000004">
      <c r="AB550" s="41"/>
      <c r="AC550" s="63"/>
      <c r="AD550" s="64"/>
    </row>
    <row r="551" spans="28:30" x14ac:dyDescent="0.55000000000000004">
      <c r="AB551" s="41"/>
      <c r="AC551" s="63"/>
      <c r="AD551" s="64"/>
    </row>
    <row r="552" spans="28:30" x14ac:dyDescent="0.55000000000000004">
      <c r="AB552" s="41"/>
      <c r="AC552" s="63"/>
      <c r="AD552" s="64"/>
    </row>
    <row r="553" spans="28:30" x14ac:dyDescent="0.55000000000000004">
      <c r="AB553" s="41"/>
      <c r="AC553" s="63"/>
      <c r="AD553" s="64"/>
    </row>
    <row r="554" spans="28:30" x14ac:dyDescent="0.55000000000000004">
      <c r="AB554" s="41"/>
      <c r="AC554" s="63"/>
      <c r="AD554" s="64"/>
    </row>
    <row r="555" spans="28:30" x14ac:dyDescent="0.55000000000000004">
      <c r="AB555" s="41"/>
      <c r="AC555" s="63"/>
      <c r="AD555" s="64"/>
    </row>
    <row r="556" spans="28:30" x14ac:dyDescent="0.55000000000000004">
      <c r="AB556" s="41"/>
      <c r="AC556" s="63"/>
      <c r="AD556" s="64"/>
    </row>
    <row r="557" spans="28:30" x14ac:dyDescent="0.55000000000000004">
      <c r="AB557" s="41"/>
      <c r="AC557" s="63"/>
      <c r="AD557" s="64"/>
    </row>
    <row r="558" spans="28:30" x14ac:dyDescent="0.55000000000000004">
      <c r="AB558" s="41"/>
      <c r="AC558" s="63"/>
      <c r="AD558" s="64"/>
    </row>
    <row r="559" spans="28:30" x14ac:dyDescent="0.55000000000000004">
      <c r="AB559" s="41"/>
      <c r="AC559" s="63"/>
      <c r="AD559" s="64"/>
    </row>
    <row r="560" spans="28:30" x14ac:dyDescent="0.55000000000000004">
      <c r="AB560" s="41"/>
      <c r="AC560" s="63"/>
      <c r="AD560" s="64"/>
    </row>
    <row r="561" spans="28:30" x14ac:dyDescent="0.55000000000000004">
      <c r="AB561" s="41"/>
      <c r="AC561" s="63"/>
      <c r="AD561" s="64"/>
    </row>
    <row r="562" spans="28:30" x14ac:dyDescent="0.55000000000000004">
      <c r="AB562" s="41"/>
      <c r="AC562" s="63"/>
      <c r="AD562" s="64"/>
    </row>
    <row r="563" spans="28:30" x14ac:dyDescent="0.55000000000000004">
      <c r="AB563" s="41"/>
      <c r="AC563" s="63"/>
      <c r="AD563" s="64"/>
    </row>
    <row r="564" spans="28:30" x14ac:dyDescent="0.55000000000000004">
      <c r="AB564" s="41"/>
      <c r="AC564" s="63"/>
      <c r="AD564" s="64"/>
    </row>
    <row r="565" spans="28:30" x14ac:dyDescent="0.55000000000000004">
      <c r="AB565" s="41"/>
      <c r="AC565" s="63"/>
      <c r="AD565" s="64"/>
    </row>
    <row r="566" spans="28:30" ht="14.7" thickBot="1" x14ac:dyDescent="0.6">
      <c r="AB566" s="51"/>
      <c r="AC566" s="65"/>
      <c r="AD566" s="66"/>
    </row>
  </sheetData>
  <mergeCells count="18">
    <mergeCell ref="AB24:AD24"/>
    <mergeCell ref="D25:E25"/>
    <mergeCell ref="AB25:AD25"/>
    <mergeCell ref="U25:Z25"/>
    <mergeCell ref="M25:S25"/>
    <mergeCell ref="G25:K25"/>
    <mergeCell ref="H12:J12"/>
    <mergeCell ref="H13:J13"/>
    <mergeCell ref="H2:N2"/>
    <mergeCell ref="H7:N7"/>
    <mergeCell ref="H8:N10"/>
    <mergeCell ref="H3:N5"/>
    <mergeCell ref="P23:S23"/>
    <mergeCell ref="O18:S18"/>
    <mergeCell ref="P19:S19"/>
    <mergeCell ref="P20:S20"/>
    <mergeCell ref="P21:S21"/>
    <mergeCell ref="P22:S22"/>
  </mergeCells>
  <conditionalFormatting sqref="AC27:AC600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mportLaborDistributionPayrollSummary">
                <anchor moveWithCells="1" sizeWithCells="1">
                  <from>
                    <xdr:col>0</xdr:col>
                    <xdr:colOff>636270</xdr:colOff>
                    <xdr:row>1</xdr:row>
                    <xdr:rowOff>3810</xdr:rowOff>
                  </from>
                  <to>
                    <xdr:col>5</xdr:col>
                    <xdr:colOff>613410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ImportCRYSSWSpectrumEmployerTaxExpenseJournalEntry">
                <anchor moveWithCells="1" sizeWithCells="1">
                  <from>
                    <xdr:col>0</xdr:col>
                    <xdr:colOff>632460</xdr:colOff>
                    <xdr:row>6</xdr:row>
                    <xdr:rowOff>3810</xdr:rowOff>
                  </from>
                  <to>
                    <xdr:col>6</xdr:col>
                    <xdr:colOff>22860</xdr:colOff>
                    <xdr:row>10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ProcessData">
                <anchor moveWithCells="1" sizeWithCells="1">
                  <from>
                    <xdr:col>1</xdr:col>
                    <xdr:colOff>11430</xdr:colOff>
                    <xdr:row>11</xdr:row>
                    <xdr:rowOff>11430</xdr:rowOff>
                  </from>
                  <to>
                    <xdr:col>5</xdr:col>
                    <xdr:colOff>621030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Completeness Checks</vt:lpstr>
      <vt:lpstr>Controller</vt:lpstr>
      <vt:lpstr>job_number_lookup_table</vt:lpstr>
      <vt:lpstr>LaborDistribution_CreditAmountSearchEnd_Contains</vt:lpstr>
      <vt:lpstr>LaborDistribution_CreditAmountSearchStart_ExactValue</vt:lpstr>
      <vt:lpstr>reqCol_JournalEntry</vt:lpstr>
      <vt:lpstr>State_Cost_Center_Lookup_Table</vt:lpstr>
      <vt:lpstr>State_gl_account_Lookup_Table</vt:lpstr>
      <vt:lpstr>State_job_number_To_phase_code_Translation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cody wilson</cp:lastModifiedBy>
  <dcterms:created xsi:type="dcterms:W3CDTF">2025-01-09T16:12:09Z</dcterms:created>
  <dcterms:modified xsi:type="dcterms:W3CDTF">2026-05-12T13:47:48Z</dcterms:modified>
</cp:coreProperties>
</file>